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Qté 2027" sheetId="2" state="visible" r:id="rId4"/>
    <sheet name="CA 2027" sheetId="3" state="visible" r:id="rId5"/>
    <sheet name="Historique hebdo" sheetId="4" state="visible" r:id="rId6"/>
    <sheet name="Méthode et mété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<sst xmlns="http://schemas.openxmlformats.org/spreadsheetml/2006/main" count="1358" uniqueCount="427">
  <si>
    <t xml:space="preserve">BATI AZUR — Prévisionnel de ventes 2027</t>
  </si>
  <si>
    <t xml:space="preserve">Magasin : Les Cailles, route de Saint-Ennemond, 03000 Avermes — généré le 18/07/2026</t>
  </si>
  <si>
    <t xml:space="preserve">Source : export du détail des ventes (caisse iPad) du 01/01/2022 au 17/07/2026 — 7 268 lignes analysées.</t>
  </si>
  <si>
    <t xml:space="preserve">1. Historique et trajectoire annuelle (CA TTC)</t>
  </si>
  <si>
    <t xml:space="preserve">4. Top 15 produits — CA prévisionnel 2027</t>
  </si>
  <si>
    <t xml:space="preserve">Année</t>
  </si>
  <si>
    <t xml:space="preserve">CA TTC</t>
  </si>
  <si>
    <t xml:space="preserve">Nature</t>
  </si>
  <si>
    <t xml:space="preserve">Produit</t>
  </si>
  <si>
    <t xml:space="preserve">CA prév.</t>
  </si>
  <si>
    <t xml:space="preserve">Qté prév.</t>
  </si>
  <si>
    <t xml:space="preserve">2022</t>
  </si>
  <si>
    <t xml:space="preserve">réel</t>
  </si>
  <si>
    <t xml:space="preserve">2023</t>
  </si>
  <si>
    <t xml:space="preserve">2024</t>
  </si>
  <si>
    <t xml:space="preserve">2025</t>
  </si>
  <si>
    <t xml:space="preserve">réel — année exceptionnelle (été très chaud)</t>
  </si>
  <si>
    <t xml:space="preserve">2026</t>
  </si>
  <si>
    <t xml:space="preserve">réel au 17/07 ; année pleine estimée ≈ 59 100 €</t>
  </si>
  <si>
    <t xml:space="preserve">2027</t>
  </si>
  <si>
    <t xml:space="preserve">prévisionnel — scénario central (tendance +11 %/an vs 2026 estimé)</t>
  </si>
  <si>
    <t xml:space="preserve">2. Scénarios 2027 (ajuster les coefficients jaunes si besoin)</t>
  </si>
  <si>
    <t xml:space="preserve">Scénario bas (météo fraîche/pluvieuse)</t>
  </si>
  <si>
    <t xml:space="preserve">Scénario central</t>
  </si>
  <si>
    <t xml:space="preserve">Scénario haut (été type 2025, canicule)</t>
  </si>
  <si>
    <t xml:space="preserve">3. CA prévisionnel 2027 par mois (TTC)</t>
  </si>
  <si>
    <t xml:space="preserve">Mois</t>
  </si>
  <si>
    <t xml:space="preserve">Semaines</t>
  </si>
  <si>
    <t xml:space="preserve">Janvier</t>
  </si>
  <si>
    <t xml:space="preserve">S01 à S04</t>
  </si>
  <si>
    <t xml:space="preserve">Février</t>
  </si>
  <si>
    <t xml:space="preserve">S05 à S08</t>
  </si>
  <si>
    <t xml:space="preserve">Mars</t>
  </si>
  <si>
    <t xml:space="preserve">S09 à S13</t>
  </si>
  <si>
    <t xml:space="preserve">Avril</t>
  </si>
  <si>
    <t xml:space="preserve">S14 à S17</t>
  </si>
  <si>
    <t xml:space="preserve">5. Répartition par catégorie (CA prév. 2027)</t>
  </si>
  <si>
    <t xml:space="preserve">Mai</t>
  </si>
  <si>
    <t xml:space="preserve">S18 à S22</t>
  </si>
  <si>
    <t xml:space="preserve">Catégorie</t>
  </si>
  <si>
    <t xml:space="preserve">Juin</t>
  </si>
  <si>
    <t xml:space="preserve">S23 à S26</t>
  </si>
  <si>
    <t xml:space="preserve">Chimie terrain</t>
  </si>
  <si>
    <t xml:space="preserve">Juillet</t>
  </si>
  <si>
    <t xml:space="preserve">S27 à S30</t>
  </si>
  <si>
    <t xml:space="preserve">Entretien</t>
  </si>
  <si>
    <t xml:space="preserve">Août</t>
  </si>
  <si>
    <t xml:space="preserve">S31 à S35</t>
  </si>
  <si>
    <t xml:space="preserve">Hivernage</t>
  </si>
  <si>
    <t xml:space="preserve">Septembre</t>
  </si>
  <si>
    <t xml:space="preserve">S36 à S39</t>
  </si>
  <si>
    <t xml:space="preserve">Hydrapro</t>
  </si>
  <si>
    <t xml:space="preserve">Octobre</t>
  </si>
  <si>
    <t xml:space="preserve">S40 à S43</t>
  </si>
  <si>
    <t xml:space="preserve">Loisir</t>
  </si>
  <si>
    <t xml:space="preserve">Novembre</t>
  </si>
  <si>
    <t xml:space="preserve">S44 à S48</t>
  </si>
  <si>
    <t xml:space="preserve">Materiel</t>
  </si>
  <si>
    <t xml:space="preserve">Décembre</t>
  </si>
  <si>
    <t xml:space="preserve">S49 à S52</t>
  </si>
  <si>
    <t xml:space="preserve">Non catégorisé</t>
  </si>
  <si>
    <t xml:space="preserve">TOTAL</t>
  </si>
  <si>
    <t xml:space="preserve">Piscimar</t>
  </si>
  <si>
    <t xml:space="preserve">Pièces détachées</t>
  </si>
  <si>
    <t xml:space="preserve">Plomberie</t>
  </si>
  <si>
    <t xml:space="preserve">Légende : texte bleu = cellule modifiable (prix unitaires en feuille 'CA 2027', coefficients de scénario ci-dessus) ; texte vert = lien vers une autre feuille ; texte noir = formule.</t>
  </si>
  <si>
    <t xml:space="preserve">Robot</t>
  </si>
  <si>
    <t xml:space="preserve">Détail de la méthode, hypothèses et volet météo : voir feuille 'Méthode et météo'.</t>
  </si>
  <si>
    <t xml:space="preserve">Service</t>
  </si>
  <si>
    <t xml:space="preserve">chimie</t>
  </si>
  <si>
    <t xml:space="preserve">Prévisionnel 2027 — Quantités vendues par produit et par semaine (scénario central)</t>
  </si>
  <si>
    <t xml:space="preserve">Unité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</si>
  <si>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</si>
  <si>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</si>
  <si>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</si>
  <si>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</si>
  <si>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</si>
  <si>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</si>
  <si>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</si>
  <si>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</si>
  <si>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</si>
  <si>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</si>
  <si>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</si>
  <si>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</si>
  <si>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</si>
  <si>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</si>
  <si>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</si>
  <si>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</si>
  <si>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</si>
  <si>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</si>
  <si>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</si>
  <si>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</si>
  <si>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</si>
  <si>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</si>
  <si>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</si>
  <si>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</si>
  <si>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</si>
  <si>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</si>
  <si>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</si>
  <si>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</si>
  <si>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</si>
  <si>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</si>
  <si>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</si>
  <si>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</si>
  <si>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</si>
  <si>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</si>
  <si>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</si>
  <si>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</si>
  <si>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</si>
  <si>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</si>
  <si>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</si>
  <si>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</si>
  <si>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</si>
  <si>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</si>
  <si>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</si>
  <si>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</si>
  <si>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</si>
  <si>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</si>
  <si>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</si>
  <si>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</si>
  <si>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</si>
  <si>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</si>
  <si>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</si>
  <si>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</si>
  <si>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Total 2027</t>
  </si>
  <si>
    <t xml:space="preserve">(semaines ISO 2027 ; S01 débute le lundi 04/01/2027)</t>
  </si>
  <si>
    <t xml:space="preserve">du 04/01</t>
  </si>
  <si>
    <t xml:space="preserve">du 11/01</t>
  </si>
  <si>
    <t xml:space="preserve">du 18/01</t>
  </si>
  <si>
    <t xml:space="preserve">du 25/01</t>
  </si>
  <si>
    <t xml:space="preserve">du 01/02</t>
  </si>
  <si>
    <t xml:space="preserve">du 08/02</t>
  </si>
  <si>
    <t xml:space="preserve">du 15/02</t>
  </si>
  <si>
    <t xml:space="preserve">du 22/02</t>
  </si>
  <si>
    <t xml:space="preserve">du 01/03</t>
  </si>
  <si>
    <t xml:space="preserve">du 08/03</t>
  </si>
  <si>
    <t xml:space="preserve">du 15/03</t>
  </si>
  <si>
    <t xml:space="preserve">du 22/03</t>
  </si>
  <si>
    <t xml:space="preserve">du 29/03</t>
  </si>
  <si>
    <t xml:space="preserve">du 05/04</t>
  </si>
  <si>
    <t xml:space="preserve">du 12/04</t>
  </si>
  <si>
    <t xml:space="preserve">du 19/04</t>
  </si>
  <si>
    <t xml:space="preserve">du 26/04</t>
  </si>
  <si>
    <t xml:space="preserve">du 03/05</t>
  </si>
  <si>
    <t xml:space="preserve">du 10/05</t>
  </si>
  <si>
    <t xml:space="preserve">du 17/05</t>
  </si>
  <si>
    <t xml:space="preserve">du 24/05</t>
  </si>
  <si>
    <t xml:space="preserve">du 31/05</t>
  </si>
  <si>
    <t xml:space="preserve">du 07/06</t>
  </si>
  <si>
    <t xml:space="preserve">du 14/06</t>
  </si>
  <si>
    <t xml:space="preserve">du 21/06</t>
  </si>
  <si>
    <t xml:space="preserve">du 28/06</t>
  </si>
  <si>
    <t xml:space="preserve">du 05/07</t>
  </si>
  <si>
    <t xml:space="preserve">du 12/07</t>
  </si>
  <si>
    <t xml:space="preserve">du 19/07</t>
  </si>
  <si>
    <t xml:space="preserve">du 26/07</t>
  </si>
  <si>
    <t xml:space="preserve">du 02/08</t>
  </si>
  <si>
    <t xml:space="preserve">du 09/08</t>
  </si>
  <si>
    <t xml:space="preserve">du 16/08</t>
  </si>
  <si>
    <t xml:space="preserve">du 23/08</t>
  </si>
  <si>
    <t xml:space="preserve">du 30/08</t>
  </si>
  <si>
    <t xml:space="preserve">du 06/09</t>
  </si>
  <si>
    <t xml:space="preserve">du 13/09</t>
  </si>
  <si>
    <t xml:space="preserve">du 20/09</t>
  </si>
  <si>
    <t xml:space="preserve">du 27/09</t>
  </si>
  <si>
    <t xml:space="preserve">du 04/10</t>
  </si>
  <si>
    <t xml:space="preserve">du 11/10</t>
  </si>
  <si>
    <t xml:space="preserve">du 18/10</t>
  </si>
  <si>
    <t xml:space="preserve">du 25/10</t>
  </si>
  <si>
    <t xml:space="preserve">du 01/11</t>
  </si>
  <si>
    <t xml:space="preserve">du 08/11</t>
  </si>
  <si>
    <t xml:space="preserve">du 15/11</t>
  </si>
  <si>
    <t xml:space="preserve">du 22/11</t>
  </si>
  <si>
    <t xml:space="preserve">du 29/11</t>
  </si>
  <si>
    <t xml:space="preserve">du 06/12</t>
  </si>
  <si>
    <t xml:space="preserve">du 13/12</t>
  </si>
  <si>
    <t xml:space="preserve">du 20/12</t>
  </si>
  <si>
    <t xml:space="preserve">du 27/12</t>
  </si>
  <si>
    <t xml:space="preserve">Ritocal 200</t>
  </si>
  <si>
    <t xml:space="preserve">pce</t>
  </si>
  <si>
    <t xml:space="preserve">Ritocal GR</t>
  </si>
  <si>
    <t xml:space="preserve">Sac de sel</t>
  </si>
  <si>
    <t xml:space="preserve">Tac + poudre rehausseur de tac</t>
  </si>
  <si>
    <t xml:space="preserve">chlorit sticks</t>
  </si>
  <si>
    <t xml:space="preserve">Acti ph minus 20 L</t>
  </si>
  <si>
    <t xml:space="preserve">ACTI pH Minus 5Kg</t>
  </si>
  <si>
    <t xml:space="preserve">Chlore lent galet</t>
  </si>
  <si>
    <t xml:space="preserve">SOS Eau Verte 1,8Kg</t>
  </si>
  <si>
    <t xml:space="preserve">Chlore choc pastille</t>
  </si>
  <si>
    <t xml:space="preserve">Aquachek chlorine</t>
  </si>
  <si>
    <t xml:space="preserve">Chlorit Granulé</t>
  </si>
  <si>
    <t xml:space="preserve">Phos Out 3XL</t>
  </si>
  <si>
    <t xml:space="preserve">ACTI Winter Pro</t>
  </si>
  <si>
    <t xml:space="preserve">Chlore liquide cl 48</t>
  </si>
  <si>
    <t xml:space="preserve">Chlorit poudre</t>
  </si>
  <si>
    <t xml:space="preserve">Stabilisant au kilo</t>
  </si>
  <si>
    <t xml:space="preserve">kg</t>
  </si>
  <si>
    <t xml:space="preserve">Ph moins esxpert</t>
  </si>
  <si>
    <t xml:space="preserve">Phos out 3 xl</t>
  </si>
  <si>
    <t xml:space="preserve">Tac+</t>
  </si>
  <si>
    <t xml:space="preserve">Sac sable 25kg</t>
  </si>
  <si>
    <t xml:space="preserve">ACTI Brom Shock 5Kg</t>
  </si>
  <si>
    <t xml:space="preserve">Chlore 4 actions</t>
  </si>
  <si>
    <t xml:space="preserve">Chlore choc granulés</t>
  </si>
  <si>
    <t xml:space="preserve">Sticks chlorit</t>
  </si>
  <si>
    <t xml:space="preserve">Actibon Shock 1L</t>
  </si>
  <si>
    <t xml:space="preserve">ACTI pH Plus 5Kg</t>
  </si>
  <si>
    <t xml:space="preserve">Ultra Clear 1L</t>
  </si>
  <si>
    <t xml:space="preserve">Algibon</t>
  </si>
  <si>
    <t xml:space="preserve">Verre sandglass 0,4/1,6</t>
  </si>
  <si>
    <t xml:space="preserve">TOUCAN Net’Skim</t>
  </si>
  <si>
    <t xml:space="preserve">Algi Yellow</t>
  </si>
  <si>
    <t xml:space="preserve">Article par défaut</t>
  </si>
  <si>
    <t xml:space="preserve">Ph moins 15</t>
  </si>
  <si>
    <t xml:space="preserve">Acti brom shock 1kg</t>
  </si>
  <si>
    <t xml:space="preserve">Robot Aiper N1</t>
  </si>
  <si>
    <t xml:space="preserve">Acti brom tab 20 5kg</t>
  </si>
  <si>
    <t xml:space="preserve">Brome tab 20</t>
  </si>
  <si>
    <t xml:space="preserve">Sac gravier</t>
  </si>
  <si>
    <t xml:space="preserve">ACTI Floc Bag 1Kg</t>
  </si>
  <si>
    <t xml:space="preserve">Manche Télescopique Alu 1.2x3.6m</t>
  </si>
  <si>
    <t xml:space="preserve">chlore lent tab 200</t>
  </si>
  <si>
    <t xml:space="preserve">Spot Remover 1,3Kg</t>
  </si>
  <si>
    <t xml:space="preserve">Tuyau Flottant 10m</t>
  </si>
  <si>
    <t xml:space="preserve">Cartouche Weltico C6</t>
  </si>
  <si>
    <t xml:space="preserve">Kit reparation</t>
  </si>
  <si>
    <t xml:space="preserve">ACTI Cya stabilisant chlore 5 kg</t>
  </si>
  <si>
    <t xml:space="preserve">Avady sonde ph</t>
  </si>
  <si>
    <t xml:space="preserve">Acti brom tab 20 1kg</t>
  </si>
  <si>
    <t xml:space="preserve">Chlore Multifonctions</t>
  </si>
  <si>
    <t xml:space="preserve">Algiblack +</t>
  </si>
  <si>
    <t xml:space="preserve">Tete de Balai Triangulaire Lestée</t>
  </si>
  <si>
    <t xml:space="preserve">Verre sandglass 1,6/4</t>
  </si>
  <si>
    <t xml:space="preserve">Cartouche veltiko c6</t>
  </si>
  <si>
    <t xml:space="preserve">Tuyaux au metre</t>
  </si>
  <si>
    <t xml:space="preserve">m</t>
  </si>
  <si>
    <t xml:space="preserve">tac + 7kg</t>
  </si>
  <si>
    <t xml:space="preserve">Cartouche pentair</t>
  </si>
  <si>
    <t xml:space="preserve">Clarifiant Hth</t>
  </si>
  <si>
    <t xml:space="preserve">Ion Magnetic</t>
  </si>
  <si>
    <t xml:space="preserve">Acti ph plus 30. 20 L</t>
  </si>
  <si>
    <t xml:space="preserve">Linnet Action (nettoyant et dégraissant ligne d'eau)</t>
  </si>
  <si>
    <t xml:space="preserve">SOS Taches 2,8Kg</t>
  </si>
  <si>
    <t xml:space="preserve">chlore choc granule</t>
  </si>
  <si>
    <t xml:space="preserve">FUNSHINE Epuisette de Fond</t>
  </si>
  <si>
    <t xml:space="preserve">chlore 5 actions 200 plus</t>
  </si>
  <si>
    <t xml:space="preserve">Brome hth 4 actions</t>
  </si>
  <si>
    <t xml:space="preserve">Vanne diam 50</t>
  </si>
  <si>
    <t xml:space="preserve">Thermomètre Yummy</t>
  </si>
  <si>
    <t xml:space="preserve">Actibon shock 0,5 l</t>
  </si>
  <si>
    <t xml:space="preserve">Texnet (nettoyant pour filtres à cartouche)</t>
  </si>
  <si>
    <t xml:space="preserve">Acti ph plus 1 kg</t>
  </si>
  <si>
    <t xml:space="preserve">Acti long tab 20</t>
  </si>
  <si>
    <t xml:space="preserve">Epuisette de fond aello</t>
  </si>
  <si>
    <t xml:space="preserve">Skimbi</t>
  </si>
  <si>
    <t xml:space="preserve">FUNSHINE Brosse Poils Caoutchouc</t>
  </si>
  <si>
    <t xml:space="preserve">Acti shock 1 kg</t>
  </si>
  <si>
    <t xml:space="preserve">Save Cell</t>
  </si>
  <si>
    <t xml:space="preserve">Kit analyse</t>
  </si>
  <si>
    <t xml:space="preserve">Funshine balai</t>
  </si>
  <si>
    <t xml:space="preserve">Brosse de fond et parois alleo</t>
  </si>
  <si>
    <t xml:space="preserve">pH + liquide 20 L 30%</t>
  </si>
  <si>
    <t xml:space="preserve">TOUCAN Pool’Gom</t>
  </si>
  <si>
    <t xml:space="preserve">Ph moins 20L</t>
  </si>
  <si>
    <t xml:space="preserve">Brosse 360 aello</t>
  </si>
  <si>
    <t xml:space="preserve">Aqua Stop</t>
  </si>
  <si>
    <t xml:space="preserve">Aquachek sel</t>
  </si>
  <si>
    <t xml:space="preserve">Anticalcareo</t>
  </si>
  <si>
    <t xml:space="preserve">Epuisette de fond</t>
  </si>
  <si>
    <t xml:space="preserve">Testeur de ph</t>
  </si>
  <si>
    <t xml:space="preserve">Solution 7</t>
  </si>
  <si>
    <t xml:space="preserve">Brosse angle polaris</t>
  </si>
  <si>
    <t xml:space="preserve">Algiklean</t>
  </si>
  <si>
    <t xml:space="preserve">Acti th + 5Kg</t>
  </si>
  <si>
    <t xml:space="preserve">Acti long tab 20 1kg</t>
  </si>
  <si>
    <t xml:space="preserve">Cartouche Weltico C5</t>
  </si>
  <si>
    <t xml:space="preserve">Diatomée 5 kg</t>
  </si>
  <si>
    <t xml:space="preserve">Thermomètre Luxe Rond Blanc</t>
  </si>
  <si>
    <t xml:space="preserve">Balai brosse caoutchouc</t>
  </si>
  <si>
    <t xml:space="preserve">Texnet nettoyant pour filtres à cartouche</t>
  </si>
  <si>
    <t xml:space="preserve">Analyse de l’eau</t>
  </si>
  <si>
    <t xml:space="preserve">Epuisette de Surface Standard</t>
  </si>
  <si>
    <t xml:space="preserve">Filtre Fin N1 - Aiper</t>
  </si>
  <si>
    <t xml:space="preserve">FUNSHINE Brosse de Paroi flexible sur les Cotés</t>
  </si>
  <si>
    <t xml:space="preserve">Griffon 125</t>
  </si>
  <si>
    <t xml:space="preserve">Ph moins 1kg</t>
  </si>
  <si>
    <t xml:space="preserve">Tuyau 12m poolstyle</t>
  </si>
  <si>
    <t xml:space="preserve">Acti oxy dual shock</t>
  </si>
  <si>
    <t xml:space="preserve">Aquacheck brome</t>
  </si>
  <si>
    <t xml:space="preserve">HTH Borkler Gel 1L</t>
  </si>
  <si>
    <t xml:space="preserve">ph- activator</t>
  </si>
  <si>
    <t xml:space="preserve">Panier universel pour skimmer</t>
  </si>
  <si>
    <t xml:space="preserve">Aquachek trutest</t>
  </si>
  <si>
    <t xml:space="preserve">Celnet</t>
  </si>
  <si>
    <t xml:space="preserve">Resticlor 1Kg</t>
  </si>
  <si>
    <t xml:space="preserve">Bache a bulles diam 457</t>
  </si>
  <si>
    <t xml:space="preserve">Brosse murale</t>
  </si>
  <si>
    <t xml:space="preserve">Kit analyse avec pastille</t>
  </si>
  <si>
    <t xml:space="preserve">Bouchon n°10</t>
  </si>
  <si>
    <t xml:space="preserve">FUNSHINE Brosse de Paroi Aspirante avec Manche Orientable</t>
  </si>
  <si>
    <t xml:space="preserve">Ph + 20l</t>
  </si>
  <si>
    <t xml:space="preserve">Tuyaux 8 m</t>
  </si>
  <si>
    <t xml:space="preserve">Dpd</t>
  </si>
  <si>
    <t xml:space="preserve">Tuyau 10m 38</t>
  </si>
  <si>
    <t xml:space="preserve">Aquatchek brome</t>
  </si>
  <si>
    <t xml:space="preserve">TOUCAN Water Lily</t>
  </si>
  <si>
    <t xml:space="preserve">Biofilm Out</t>
  </si>
  <si>
    <t xml:space="preserve">Colle ABS</t>
  </si>
  <si>
    <t xml:space="preserve">Epuisette de surface aello</t>
  </si>
  <si>
    <t xml:space="preserve">Manometre pentair</t>
  </si>
  <si>
    <t xml:space="preserve">Sable 25 kg 0,4/ 1,4mm</t>
  </si>
  <si>
    <t xml:space="preserve">Linnet action nettoyant et dégraissant ligne d eau</t>
  </si>
  <si>
    <t xml:space="preserve">Ph minus 10 litres</t>
  </si>
  <si>
    <t xml:space="preserve">Buffer solution ph</t>
  </si>
  <si>
    <t xml:space="preserve">Union 3 pièces 2 ‘’</t>
  </si>
  <si>
    <t xml:space="preserve">Panier skimmer hayward</t>
  </si>
  <si>
    <t xml:space="preserve">Buse jet reglable 3319 hayward</t>
  </si>
  <si>
    <t xml:space="preserve">HTH Stop-Insect 1L</t>
  </si>
  <si>
    <t xml:space="preserve">Adaptateur pour t</t>
  </si>
  <si>
    <t xml:space="preserve">Anse de Panier de Skimmer</t>
  </si>
  <si>
    <t xml:space="preserve">Thermomètre Kokido</t>
  </si>
  <si>
    <t xml:space="preserve">Pool terre</t>
  </si>
  <si>
    <t xml:space="preserve">Buse orientable l gr fonce hayward</t>
  </si>
  <si>
    <t xml:space="preserve">Ph plus 5L</t>
  </si>
  <si>
    <t xml:space="preserve">Adaptateur 7e</t>
  </si>
  <si>
    <t xml:space="preserve">Parfum spa hth decouverte</t>
  </si>
  <si>
    <t xml:space="preserve">Solution ph 4</t>
  </si>
  <si>
    <t xml:space="preserve">Volet et charniere skimmer astral</t>
  </si>
  <si>
    <t xml:space="preserve">Union f/f</t>
  </si>
  <si>
    <t xml:space="preserve">Areoles Piscimar chlore lent tab 200</t>
  </si>
  <si>
    <t xml:space="preserve">Joint torique couvercle</t>
  </si>
  <si>
    <t xml:space="preserve">Sable gravier 25kg 1,4/4mm</t>
  </si>
  <si>
    <t xml:space="preserve">Boitier de Connexion Pour Projecteur hayward</t>
  </si>
  <si>
    <t xml:space="preserve">Resticlor 300g</t>
  </si>
  <si>
    <t xml:space="preserve">Coude 90°</t>
  </si>
  <si>
    <t xml:space="preserve">Griffon wdf-05 colle piscine 250 ml</t>
  </si>
  <si>
    <t xml:space="preserve">Phenol red</t>
  </si>
  <si>
    <t xml:space="preserve">Manchon a coller/visser diam 50</t>
  </si>
  <si>
    <t xml:space="preserve">Meytec solution étalon</t>
  </si>
  <si>
    <t xml:space="preserve">Solution étalon 7</t>
  </si>
  <si>
    <t xml:space="preserve">Solution pH10</t>
  </si>
  <si>
    <t xml:space="preserve">Scale Stain Cleaner (nettoyant calcaire et oxydation)</t>
  </si>
  <si>
    <t xml:space="preserve">Skim vac 185mm</t>
  </si>
  <si>
    <t xml:space="preserve">Manchon à Coller PVC ∅50</t>
  </si>
  <si>
    <t xml:space="preserve">Chlore choc 1 kg</t>
  </si>
  <si>
    <t xml:space="preserve">Brome shock 1kg</t>
  </si>
  <si>
    <t xml:space="preserve">Logeur tuyaux bleu</t>
  </si>
  <si>
    <t xml:space="preserve">Areoles Aquachek chlorine</t>
  </si>
  <si>
    <t xml:space="preserve">Client FUNSHINE Brosse Poils Caoutchouc</t>
  </si>
  <si>
    <t xml:space="preserve">Solution tds 3000 ppm</t>
  </si>
  <si>
    <t xml:space="preserve">Flotteur piscine</t>
  </si>
  <si>
    <t xml:space="preserve">Client ACTI pH Plus 5Kg</t>
  </si>
  <si>
    <t xml:space="preserve">Client Funshine epuisette de fond</t>
  </si>
  <si>
    <t xml:space="preserve">Bouchon n°9</t>
  </si>
  <si>
    <t xml:space="preserve">Griffon wdf-05 colle piscine 125mL</t>
  </si>
  <si>
    <t xml:space="preserve">Adaptateur 44/w</t>
  </si>
  <si>
    <t xml:space="preserve">Solution redox standart 475 mV</t>
  </si>
  <si>
    <t xml:space="preserve">Té PVC ∅50</t>
  </si>
  <si>
    <t xml:space="preserve">Aqua Max</t>
  </si>
  <si>
    <t xml:space="preserve">Areoles Tuyaux au metre</t>
  </si>
  <si>
    <t xml:space="preserve">Couvercle skimmer rond hay</t>
  </si>
  <si>
    <t xml:space="preserve">Adaptateur 2e</t>
  </si>
  <si>
    <t xml:space="preserve">Panier de Skimmer</t>
  </si>
  <si>
    <t xml:space="preserve">Lo-chlor</t>
  </si>
  <si>
    <t xml:space="preserve">Bride buse hayward 08</t>
  </si>
  <si>
    <t xml:space="preserve">GRIFFON PVC Gel Aqua tube 125ml</t>
  </si>
  <si>
    <t xml:space="preserve">Flotteur spa</t>
  </si>
  <si>
    <t xml:space="preserve">Areoles Adaptateur 44/w</t>
  </si>
  <si>
    <t xml:space="preserve">Embout à Coller PVC ∅63</t>
  </si>
  <si>
    <t xml:space="preserve">Shock brome</t>
  </si>
  <si>
    <t xml:space="preserve">Coude 45°</t>
  </si>
  <si>
    <t xml:space="preserve">Gizzmo antigel</t>
  </si>
  <si>
    <t xml:space="preserve">Embout à Coller PVC ∅50</t>
  </si>
  <si>
    <t xml:space="preserve">TOTAL articles / semaine</t>
  </si>
  <si>
    <t xml:space="preserve">Prévisionnel 2027 — Chiffre d'affaires TTC par produit et par semaine (scénario central)</t>
  </si>
  <si>
    <t xml:space="preserve">CA = quantité (feuille 'Qté 2027') × prix unitaire TTC (colonne C, modifiable — texte bleu).</t>
  </si>
  <si>
    <t xml:space="preserve">Prix unit. TTC</t>
  </si>
  <si>
    <t xml:space="preserve">TOTAL CA TTC / semaine</t>
  </si>
  <si>
    <t xml:space="preserve">CA TTC hebdomadaire — historique 2022-2026 (réel) et prévisionnel 2027</t>
  </si>
  <si>
    <t xml:space="preserve">Semaine</t>
  </si>
  <si>
    <t xml:space="preserve">Début (2027)</t>
  </si>
  <si>
    <t xml:space="preserve">CA 2022</t>
  </si>
  <si>
    <t xml:space="preserve">CA 2023</t>
  </si>
  <si>
    <t xml:space="preserve">CA 2024</t>
  </si>
  <si>
    <t xml:space="preserve">CA 2025</t>
  </si>
  <si>
    <t xml:space="preserve">CA 2026*</t>
  </si>
  <si>
    <t xml:space="preserve">Prév. 2027</t>
  </si>
  <si>
    <t xml:space="preserve">* 2026 : données réelles jusqu'au 17/07/2026 (semaine 28 incluse ; S29+ vides).</t>
  </si>
  <si>
    <t xml:space="preserve">Méthode de calcul, hypothèses et volet météorologique</t>
  </si>
  <si>
    <t xml:space="preserve">SOURCE DES DONNÉES</t>
  </si>
  <si>
    <t xml:space="preserve">• Export PDF du détail des ventes de la caisse (7 269 lignes, 01/01/2022 → 17/07/2026) fourni le 17/07/2026.</t>
  </si>
  <si>
    <t xml:space="preserve">• 7 268 lignes exploitées (1 ligne écartée : vente à 0 € sans quantité). Remboursements comptés en négatif.</t>
  </si>
  <si>
    <t xml:space="preserve">• Les libellés produits ont été harmonisés entre années (ex. « Piscimar Ritocal 200 » = « Ritocal 200 » ; 36 fusions).</t>
  </si>
  <si>
    <t xml:space="preserve">• Périmètre du prévisionnel : les 192 produits vendus au moins une fois depuis le 01/01/2024.</t>
  </si>
  <si>
    <t xml:space="preserve">  Les produits sans aucune vente depuis 2024 (référencements abandonnés) sont exclus.</t>
  </si>
  <si>
    <t xml:space="preserve">MÉTHODE (par produit et par semaine ISO)</t>
  </si>
  <si>
    <t xml:space="preserve">1. Quantités agrégées par produit × semaine ISO × année (2022 à 2026).</t>
  </si>
  <si>
    <t xml:space="preserve">2. Profil hebdomadaire = moyenne pondérée par récence : 2022×0,4 · 2023×0,6 · 2024×1,0 · 2025×1,4 · 2026×1,6.</t>
  </si>
  <si>
    <t xml:space="preserve">   Pour les semaines 29 à 52, l'année 2026 est exclue (données arrêtées au 17/07/2026).</t>
  </si>
  <si>
    <t xml:space="preserve">3. Lissage sur 3 semaines glissantes (25 % / 50 % / 25 %) pour atténuer le bruit des petites séries.</t>
  </si>
  <si>
    <t xml:space="preserve">4. Calage sur la trajectoire annuelle : 2026 pleine année estimée ≈ 59 100 € (part moyenne du 2e semestre</t>
  </si>
  <si>
    <t xml:space="preserve">   observée 2022-2025), tendance moyenne 2022→2026 ≈ +11 %/an, d'où une cible centrale 2027 ≈ 65 700 € TTC.</t>
  </si>
  <si>
    <t xml:space="preserve">   Facteur de calage appliqué uniformément : ×1.1299.</t>
  </si>
  <si>
    <t xml:space="preserve">5. Prix unitaires TTC = médiane observée sur la dernière année de vente de chaque produit (colonne C de</t>
  </si>
  <si>
    <t xml:space="preserve">   « CA 2027 », modifiable : le CA se recalcule automatiquement).</t>
  </si>
  <si>
    <t xml:space="preserve">COMMENT LIRE LES QUANTITÉS</t>
  </si>
  <si>
    <t xml:space="preserve">• Les quantités sont des espérances hebdomadaires : « 0,25 » signifie ≈ 1 vente toutes les 4 semaines sur la</t>
  </si>
  <si>
    <t xml:space="preserve">  période, pas un quart d'article. Pour un plan de commande, raisonner par mois ou par saison (colonne Total).</t>
  </si>
  <si>
    <t xml:space="preserve">• Produits vendus au poids (kg) : quantités en kg (ex. Stabilisant au kilo).</t>
  </si>
  <si>
    <t xml:space="preserve">VOLET MÉTÉO</t>
  </si>
  <si>
    <t xml:space="preserve">• Magasin situé à Avermes (Allier, 03) — climat semi-continental : normales ≈ 4 °C en janvier, 20-21 °C de</t>
  </si>
  <si>
    <t xml:space="preserve">  moyenne en juillet (max ≈ 26-27 °C) ; saison de baignade régionale : mi-mai → mi-septembre.</t>
  </si>
  <si>
    <t xml:space="preserve">• L'accès aux relevés météo externes (API Open-Meteo / Météo-France) était bloqué par la politique réseau de</t>
  </si>
  <si>
    <t xml:space="preserve">  l'environnement d'analyse : la corrélation météo n'a donc pas pu être calculée sur relevés réels.</t>
  </si>
  <si>
    <t xml:space="preserve">• En pratique, 4,5 années de ventes hebdomadaires intègrent déjà l'effet météo moyen local : le profil</t>
  </si>
  <si>
    <t xml:space="preserve">  saisonnier calculé (démarrage S14-S15 ≈ mi-avril, pic S20-S26 = mi-mai→fin juin, décrue après S30, arrêt</t>
  </si>
  <si>
    <t xml:space="preserve">  quasi total S45→S09) reflète la climatologie de l'Allier.</t>
  </si>
  <si>
    <t xml:space="preserve">• La météo reste le premier aléa : l'écart 2025 (été caniculaire, 75 500 €) vs 2024 (50 900 €) montre une</t>
  </si>
  <si>
    <t xml:space="preserve">  amplitude de ±20 à +25 % selon l'été. D'où les scénarios bas/central/haut de la feuille « Synthèse » :</t>
  </si>
  <si>
    <t xml:space="preserve">  ajuster le coefficient jaune en cours de saison selon les prévisions saisonnières.</t>
  </si>
  <si>
    <t xml:space="preserve">LIMITES</t>
  </si>
  <si>
    <t xml:space="preserve">• Les produits à faible rotation (&lt; 10 € de CA prévisionnel annuel : 48 références) figurent pour mémoire ;</t>
  </si>
  <si>
    <t xml:space="preserve">  leurs prévisions hebdomadaires ne sont pas significatives individuellement.</t>
  </si>
  <si>
    <t xml:space="preserve">• Le prévisionnel suppose une offre, des horaires et une politique tarifaire constants (hausses de prix non</t>
  </si>
  <si>
    <t xml:space="preserve">  modélisées au-delà de la tendance historique).</t>
  </si>
  <si>
    <t xml:space="preserve">• Semaines ISO 2027 : S01 démarre le lundi 04/01/2027 ; les 1er-3 janvier 2027 (fin S53-2026) sont négligés</t>
  </si>
  <si>
    <t xml:space="preserve">  (magasin historiquement fermé à cette période).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</si>
</sst>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€&quot;"/>
    <numFmt numFmtId="166" formatCode="0.#"/>
    <numFmt numFmtId="167" formatCode="0.00"/>
    <numFmt numFmtId="168" formatCode="0.##;\-0.##;\–"/>
    <numFmt numFmtId="169" formatCode="0.#;\-0.#;\–"/>
    <numFmt numFmtId="170" formatCode="#,##0.00&quot; €&quot;"/>
    <numFmt numFmtId="171" formatCode="#,##0&quot; €&quot;;\-#,##0&quot; €&quot;;\–"/>
    <numFmt numFmtId="172" formatCode="dd/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A5A4"/>
      <rgbColor rgb="FF878787"/>
      <rgbColor rgb="FF9999FF"/>
      <rgbColor rgb="FF9D3E3B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BE4B48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 TTC hebdomadaire : 2025 / 2026 (réel) vs prévisionnel 2027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'Historique hebdo'!F3</c:f>
              <c:strCache>
                <c:ptCount val="1"/>
                <c:pt idx="0">
                  <c:v>CA 2025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'Historique hebdo'!$A$4:$A$55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'Historique hebdo'!$F$4:$F$55</c:f>
              <c:numCache>
                <c:formatCode>#,##0" €";\-#,##0" €";\–</c:formatCode>
                <c:ptCount val="52"/>
                <c:pt idx="0">
                  <c:v>0</c:v>
                </c:pt>
                <c:pt idx="1">
                  <c:v>133</c:v>
                </c:pt>
                <c:pt idx="2">
                  <c:v>0</c:v>
                </c:pt>
                <c:pt idx="3">
                  <c:v>0</c:v>
                </c:pt>
                <c:pt idx="4">
                  <c:v>37</c:v>
                </c:pt>
                <c:pt idx="5">
                  <c:v>0</c:v>
                </c:pt>
                <c:pt idx="6">
                  <c:v>72</c:v>
                </c:pt>
                <c:pt idx="7">
                  <c:v>88</c:v>
                </c:pt>
                <c:pt idx="8">
                  <c:v>62</c:v>
                </c:pt>
                <c:pt idx="9">
                  <c:v>106</c:v>
                </c:pt>
                <c:pt idx="10">
                  <c:v>70</c:v>
                </c:pt>
                <c:pt idx="11">
                  <c:v>300</c:v>
                </c:pt>
                <c:pt idx="12">
                  <c:v>529</c:v>
                </c:pt>
                <c:pt idx="13">
                  <c:v>446</c:v>
                </c:pt>
                <c:pt idx="14">
                  <c:v>1778</c:v>
                </c:pt>
                <c:pt idx="15">
                  <c:v>1577</c:v>
                </c:pt>
                <c:pt idx="16">
                  <c:v>1210</c:v>
                </c:pt>
                <c:pt idx="17">
                  <c:v>4390</c:v>
                </c:pt>
                <c:pt idx="18">
                  <c:v>2265</c:v>
                </c:pt>
                <c:pt idx="19">
                  <c:v>4718</c:v>
                </c:pt>
                <c:pt idx="20">
                  <c:v>3058</c:v>
                </c:pt>
                <c:pt idx="21">
                  <c:v>6284</c:v>
                </c:pt>
                <c:pt idx="22">
                  <c:v>3065</c:v>
                </c:pt>
                <c:pt idx="23">
                  <c:v>4329</c:v>
                </c:pt>
                <c:pt idx="24">
                  <c:v>7524</c:v>
                </c:pt>
                <c:pt idx="25">
                  <c:v>5432</c:v>
                </c:pt>
                <c:pt idx="26">
                  <c:v>6818</c:v>
                </c:pt>
                <c:pt idx="27">
                  <c:v>4087</c:v>
                </c:pt>
                <c:pt idx="28">
                  <c:v>3023</c:v>
                </c:pt>
                <c:pt idx="29">
                  <c:v>1737</c:v>
                </c:pt>
                <c:pt idx="30">
                  <c:v>1658</c:v>
                </c:pt>
                <c:pt idx="31">
                  <c:v>3298</c:v>
                </c:pt>
                <c:pt idx="32">
                  <c:v>2491</c:v>
                </c:pt>
                <c:pt idx="33">
                  <c:v>383</c:v>
                </c:pt>
                <c:pt idx="34">
                  <c:v>45</c:v>
                </c:pt>
                <c:pt idx="35">
                  <c:v>1503</c:v>
                </c:pt>
                <c:pt idx="36">
                  <c:v>343</c:v>
                </c:pt>
                <c:pt idx="37">
                  <c:v>670</c:v>
                </c:pt>
                <c:pt idx="38">
                  <c:v>643</c:v>
                </c:pt>
                <c:pt idx="39">
                  <c:v>185</c:v>
                </c:pt>
                <c:pt idx="40">
                  <c:v>450</c:v>
                </c:pt>
                <c:pt idx="41">
                  <c:v>68</c:v>
                </c:pt>
                <c:pt idx="42">
                  <c:v>101</c:v>
                </c:pt>
                <c:pt idx="43">
                  <c:v>78</c:v>
                </c:pt>
                <c:pt idx="44">
                  <c:v>87</c:v>
                </c:pt>
                <c:pt idx="45">
                  <c:v>59</c:v>
                </c:pt>
                <c:pt idx="46">
                  <c:v>111</c:v>
                </c:pt>
                <c:pt idx="47">
                  <c:v>45</c:v>
                </c:pt>
                <c:pt idx="48">
                  <c:v>67</c:v>
                </c:pt>
                <c:pt idx="49">
                  <c:v>0</c:v>
                </c:pt>
                <c:pt idx="50">
                  <c:v>111</c:v>
                </c:pt>
                <c:pt idx="5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'Historique hebdo'!G3</c:f>
              <c:strCache>
                <c:ptCount val="1"/>
                <c:pt idx="0">
                  <c:v>CA 2026*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'Historique hebdo'!$A$4:$A$55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'Historique hebdo'!$G$4:$G$55</c:f>
              <c:numCache>
                <c:formatCode>#,##0" €";\-#,##0" €";\–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137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53</c:v>
                </c:pt>
                <c:pt idx="10">
                  <c:v>450</c:v>
                </c:pt>
                <c:pt idx="11">
                  <c:v>320</c:v>
                </c:pt>
                <c:pt idx="12">
                  <c:v>383</c:v>
                </c:pt>
                <c:pt idx="13">
                  <c:v>269</c:v>
                </c:pt>
                <c:pt idx="14">
                  <c:v>1145</c:v>
                </c:pt>
                <c:pt idx="15">
                  <c:v>2324</c:v>
                </c:pt>
                <c:pt idx="16">
                  <c:v>1895</c:v>
                </c:pt>
                <c:pt idx="17">
                  <c:v>1732</c:v>
                </c:pt>
                <c:pt idx="18">
                  <c:v>1136</c:v>
                </c:pt>
                <c:pt idx="19">
                  <c:v>1410</c:v>
                </c:pt>
                <c:pt idx="20">
                  <c:v>5304</c:v>
                </c:pt>
                <c:pt idx="21">
                  <c:v>5166</c:v>
                </c:pt>
                <c:pt idx="22">
                  <c:v>2195</c:v>
                </c:pt>
                <c:pt idx="23">
                  <c:v>2385</c:v>
                </c:pt>
                <c:pt idx="24">
                  <c:v>2805</c:v>
                </c:pt>
                <c:pt idx="25">
                  <c:v>3875</c:v>
                </c:pt>
                <c:pt idx="26">
                  <c:v>4143</c:v>
                </c:pt>
                <c:pt idx="27">
                  <c:v>3410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'Historique hebdo'!H3</c:f>
              <c:strCache>
                <c:ptCount val="1"/>
                <c:pt idx="0">
                  <c:v>Prév. 2027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'Historique hebdo'!$A$4:$A$55</c:f>
              <c:strCache>
                <c:ptCount val="52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  <c:pt idx="28">
                  <c:v>S29</c:v>
                </c:pt>
                <c:pt idx="29">
                  <c:v>S30</c:v>
                </c:pt>
                <c:pt idx="30">
                  <c:v>S31</c:v>
                </c:pt>
                <c:pt idx="31">
                  <c:v>S32</c:v>
                </c:pt>
                <c:pt idx="32">
                  <c:v>S33</c:v>
                </c:pt>
                <c:pt idx="33">
                  <c:v>S34</c:v>
                </c:pt>
                <c:pt idx="34">
                  <c:v>S35</c:v>
                </c:pt>
                <c:pt idx="35">
                  <c:v>S36</c:v>
                </c:pt>
                <c:pt idx="36">
                  <c:v>S37</c:v>
                </c:pt>
                <c:pt idx="37">
                  <c:v>S38</c:v>
                </c:pt>
                <c:pt idx="38">
                  <c:v>S39</c:v>
                </c:pt>
                <c:pt idx="39">
                  <c:v>S40</c:v>
                </c:pt>
                <c:pt idx="40">
                  <c:v>S41</c:v>
                </c:pt>
                <c:pt idx="41">
                  <c:v>S42</c:v>
                </c:pt>
                <c:pt idx="42">
                  <c:v>S43</c:v>
                </c:pt>
                <c:pt idx="43">
                  <c:v>S44</c:v>
                </c:pt>
                <c:pt idx="44">
                  <c:v>S45</c:v>
                </c:pt>
                <c:pt idx="45">
                  <c:v>S46</c:v>
                </c:pt>
                <c:pt idx="46">
                  <c:v>S47</c:v>
                </c:pt>
                <c:pt idx="47">
                  <c:v>S48</c:v>
                </c:pt>
                <c:pt idx="48">
                  <c:v>S49</c:v>
                </c:pt>
                <c:pt idx="49">
                  <c:v>S50</c:v>
                </c:pt>
                <c:pt idx="50">
                  <c:v>S51</c:v>
                </c:pt>
                <c:pt idx="51">
                  <c:v>S52</c:v>
                </c:pt>
              </c:strCache>
            </c:strRef>
          </c:cat>
          <c:val>
            <c:numRef>
              <c:f>'Historique hebdo'!$H$4:$H$55</c:f>
              <c:numCache>
                <c:formatCode>#,##0" €";\-#,##0" €";\–</c:formatCode>
                <c:ptCount val="52"/>
                <c:pt idx="0">
                  <c:v>23.2501</c:v>
                </c:pt>
                <c:pt idx="1">
                  <c:v>41.861</c:v>
                </c:pt>
                <c:pt idx="2">
                  <c:v>24.4945</c:v>
                </c:pt>
                <c:pt idx="3">
                  <c:v>10.9034</c:v>
                </c:pt>
                <c:pt idx="4">
                  <c:v>25.3132</c:v>
                </c:pt>
                <c:pt idx="5">
                  <c:v>41.3444</c:v>
                </c:pt>
                <c:pt idx="6">
                  <c:v>43.9336</c:v>
                </c:pt>
                <c:pt idx="7">
                  <c:v>41.7096</c:v>
                </c:pt>
                <c:pt idx="8">
                  <c:v>58.6876</c:v>
                </c:pt>
                <c:pt idx="9">
                  <c:v>120.4472</c:v>
                </c:pt>
                <c:pt idx="10">
                  <c:v>258.5269</c:v>
                </c:pt>
                <c:pt idx="11">
                  <c:v>401.7977</c:v>
                </c:pt>
                <c:pt idx="12">
                  <c:v>470.2277</c:v>
                </c:pt>
                <c:pt idx="13">
                  <c:v>760.5641</c:v>
                </c:pt>
                <c:pt idx="14">
                  <c:v>1389.2975</c:v>
                </c:pt>
                <c:pt idx="15">
                  <c:v>1751.3822</c:v>
                </c:pt>
                <c:pt idx="16">
                  <c:v>1897.204</c:v>
                </c:pt>
                <c:pt idx="17">
                  <c:v>2204.5882</c:v>
                </c:pt>
                <c:pt idx="18">
                  <c:v>2571.7332</c:v>
                </c:pt>
                <c:pt idx="19">
                  <c:v>3096.2259</c:v>
                </c:pt>
                <c:pt idx="20">
                  <c:v>3853.8815</c:v>
                </c:pt>
                <c:pt idx="21">
                  <c:v>4018.8373</c:v>
                </c:pt>
                <c:pt idx="22">
                  <c:v>3310.4797</c:v>
                </c:pt>
                <c:pt idx="23">
                  <c:v>3194.7134</c:v>
                </c:pt>
                <c:pt idx="24">
                  <c:v>3921.5292</c:v>
                </c:pt>
                <c:pt idx="25">
                  <c:v>4464.6718</c:v>
                </c:pt>
                <c:pt idx="26">
                  <c:v>4330.6478</c:v>
                </c:pt>
                <c:pt idx="27">
                  <c:v>3694.114</c:v>
                </c:pt>
                <c:pt idx="28">
                  <c:v>2943.9954</c:v>
                </c:pt>
                <c:pt idx="29">
                  <c:v>2289.2546</c:v>
                </c:pt>
                <c:pt idx="30">
                  <c:v>2260.7916</c:v>
                </c:pt>
                <c:pt idx="31">
                  <c:v>2455.1576</c:v>
                </c:pt>
                <c:pt idx="32">
                  <c:v>1781.3504</c:v>
                </c:pt>
                <c:pt idx="33">
                  <c:v>963.9796</c:v>
                </c:pt>
                <c:pt idx="34">
                  <c:v>1175.2034</c:v>
                </c:pt>
                <c:pt idx="35">
                  <c:v>1343.9353</c:v>
                </c:pt>
                <c:pt idx="36">
                  <c:v>830.1192</c:v>
                </c:pt>
                <c:pt idx="37">
                  <c:v>555.983</c:v>
                </c:pt>
                <c:pt idx="38">
                  <c:v>509.2862</c:v>
                </c:pt>
                <c:pt idx="39">
                  <c:v>424.0971</c:v>
                </c:pt>
                <c:pt idx="40">
                  <c:v>436.1564</c:v>
                </c:pt>
                <c:pt idx="41">
                  <c:v>397.3259</c:v>
                </c:pt>
                <c:pt idx="42">
                  <c:v>316.8461</c:v>
                </c:pt>
                <c:pt idx="43">
                  <c:v>270.7185</c:v>
                </c:pt>
                <c:pt idx="44">
                  <c:v>232.9911</c:v>
                </c:pt>
                <c:pt idx="45">
                  <c:v>173.15</c:v>
                </c:pt>
                <c:pt idx="46">
                  <c:v>124.4726</c:v>
                </c:pt>
                <c:pt idx="47">
                  <c:v>115.6676</c:v>
                </c:pt>
                <c:pt idx="48">
                  <c:v>84.5225</c:v>
                </c:pt>
                <c:pt idx="49">
                  <c:v>55.9204</c:v>
                </c:pt>
                <c:pt idx="50">
                  <c:v>48.8736</c:v>
                </c:pt>
                <c:pt idx="51">
                  <c:v>20.9424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7987"/>
        <c:axId val="74013549"/>
      </c:lineChart>
      <c:catAx>
        <c:axId val="4179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13549"/>
        <c:crosses val="autoZero"/>
        <c:auto val="1"/>
        <c:lblAlgn val="ctr"/>
        <c:lblOffset val="100"/>
        <c:noMultiLvlLbl val="0"/>
      </c:catAx>
      <c:valAx>
        <c:axId val="74013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 TTC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;\-#,##0&quot; €&quot;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21</xdr:col>
      <xdr:colOff>253800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8582040" y="3808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3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E5" s="3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  <c r="C6" s="4" t="s">
        <v>7</v>
      </c>
      <c r="E6" s="4" t="s">
        <v>8</v>
      </c>
      <c r="F6" s="4" t="s">
        <v>9</v>
      </c>
      <c r="G6" s="4" t="s">
        <v>10</v>
      </c>
    </row>
    <row r="7" customFormat="false" ht="15" hidden="false" customHeight="false" outlineLevel="0" collapsed="false">
      <c r="A7" s="5" t="s">
        <v>11</v>
      </c>
      <c r="B7" s="6" t="n">
        <v>38798</v>
      </c>
      <c r="C7" s="5" t="s">
        <v>12</v>
      </c>
      <c r="E7" s="7" t="str">
        <f aca="false">'CA 2027'!A5</f>
        <v>Ritocal 200</v>
      </c>
      <c r="F7" s="8" t="n">
        <f aca="false">'CA 2027'!BD5</f>
        <v>9160.992</v>
      </c>
      <c r="G7" s="9" t="n">
        <f aca="false">'Qté 2027'!BD5</f>
        <v>106.03</v>
      </c>
    </row>
    <row r="8" customFormat="false" ht="15" hidden="false" customHeight="false" outlineLevel="0" collapsed="false">
      <c r="A8" s="5" t="s">
        <v>13</v>
      </c>
      <c r="B8" s="6" t="n">
        <v>39320</v>
      </c>
      <c r="C8" s="5" t="s">
        <v>12</v>
      </c>
      <c r="E8" s="7" t="str">
        <f aca="false">'CA 2027'!A6</f>
        <v>Ritocal GR</v>
      </c>
      <c r="F8" s="8" t="n">
        <f aca="false">'CA 2027'!BD6</f>
        <v>7427.25</v>
      </c>
      <c r="G8" s="9" t="n">
        <f aca="false">'Qté 2027'!BD6</f>
        <v>99.03</v>
      </c>
    </row>
    <row r="9" customFormat="false" ht="15" hidden="false" customHeight="false" outlineLevel="0" collapsed="false">
      <c r="A9" s="5" t="s">
        <v>14</v>
      </c>
      <c r="B9" s="6" t="n">
        <v>50874</v>
      </c>
      <c r="C9" s="5" t="s">
        <v>12</v>
      </c>
      <c r="E9" s="7" t="str">
        <f aca="false">'CA 2027'!A7</f>
        <v>Sac de sel</v>
      </c>
      <c r="F9" s="8" t="n">
        <f aca="false">'CA 2027'!BD7</f>
        <v>4817.34</v>
      </c>
      <c r="G9" s="9" t="n">
        <f aca="false">'Qté 2027'!BD7</f>
        <v>267.63</v>
      </c>
    </row>
    <row r="10" customFormat="false" ht="15" hidden="false" customHeight="false" outlineLevel="0" collapsed="false">
      <c r="A10" s="5" t="s">
        <v>15</v>
      </c>
      <c r="B10" s="6" t="n">
        <v>75532</v>
      </c>
      <c r="C10" s="5" t="s">
        <v>16</v>
      </c>
      <c r="E10" s="7" t="str">
        <f aca="false">'CA 2027'!A8</f>
        <v>Tac + poudre rehausseur de tac</v>
      </c>
      <c r="F10" s="8" t="n">
        <f aca="false">'CA 2027'!BD8</f>
        <v>3653.32</v>
      </c>
      <c r="G10" s="9" t="n">
        <f aca="false">'Qté 2027'!BD8</f>
        <v>192.28</v>
      </c>
    </row>
    <row r="11" customFormat="false" ht="15" hidden="false" customHeight="false" outlineLevel="0" collapsed="false">
      <c r="A11" s="5" t="s">
        <v>17</v>
      </c>
      <c r="B11" s="6" t="n">
        <v>41376</v>
      </c>
      <c r="C11" s="5" t="s">
        <v>18</v>
      </c>
      <c r="E11" s="7" t="str">
        <f aca="false">'CA 2027'!A9</f>
        <v>chlorit sticks</v>
      </c>
      <c r="F11" s="8" t="n">
        <f aca="false">'CA 2027'!BD9</f>
        <v>3022.4948</v>
      </c>
      <c r="G11" s="9" t="n">
        <f aca="false">'Qté 2027'!BD9</f>
        <v>39.01</v>
      </c>
    </row>
    <row r="12" customFormat="false" ht="15" hidden="false" customHeight="false" outlineLevel="0" collapsed="false">
      <c r="A12" s="3" t="s">
        <v>19</v>
      </c>
      <c r="B12" s="10" t="n">
        <f aca="false">'CA 2027'!BD197</f>
        <v>65833.1072</v>
      </c>
      <c r="C12" s="3" t="s">
        <v>20</v>
      </c>
      <c r="E12" s="7" t="str">
        <f aca="false">'CA 2027'!A10</f>
        <v>Acti ph minus 20 L</v>
      </c>
      <c r="F12" s="8" t="n">
        <f aca="false">'CA 2027'!BD10</f>
        <v>2530.308</v>
      </c>
      <c r="G12" s="9" t="n">
        <f aca="false">'Qté 2027'!BD10</f>
        <v>66.1</v>
      </c>
    </row>
    <row r="13" customFormat="false" ht="15" hidden="false" customHeight="false" outlineLevel="0" collapsed="false">
      <c r="E13" s="7" t="str">
        <f aca="false">'CA 2027'!A11</f>
        <v>ACTI pH Minus 5Kg</v>
      </c>
      <c r="F13" s="8" t="n">
        <f aca="false">'CA 2027'!BD11</f>
        <v>2364.972</v>
      </c>
      <c r="G13" s="9" t="n">
        <f aca="false">'Qté 2027'!BD11</f>
        <v>115.93</v>
      </c>
    </row>
    <row r="14" customFormat="false" ht="15" hidden="false" customHeight="false" outlineLevel="0" collapsed="false">
      <c r="A14" s="3" t="s">
        <v>21</v>
      </c>
      <c r="E14" s="7" t="str">
        <f aca="false">'CA 2027'!A12</f>
        <v>Chlore lent galet</v>
      </c>
      <c r="F14" s="8" t="n">
        <f aca="false">'CA 2027'!BD12</f>
        <v>2192.311</v>
      </c>
      <c r="G14" s="9" t="n">
        <f aca="false">'Qté 2027'!BD12</f>
        <v>48.61</v>
      </c>
    </row>
    <row r="15" customFormat="false" ht="15" hidden="false" customHeight="false" outlineLevel="0" collapsed="false">
      <c r="A15" s="5" t="s">
        <v>22</v>
      </c>
      <c r="B15" s="11" t="n">
        <v>0.85</v>
      </c>
      <c r="C15" s="6" t="n">
        <f aca="false">$B$12*B15</f>
        <v>55958.14112</v>
      </c>
      <c r="E15" s="7" t="str">
        <f aca="false">'CA 2027'!A13</f>
        <v>SOS Eau Verte 1,8Kg</v>
      </c>
      <c r="F15" s="8" t="n">
        <f aca="false">'CA 2027'!BD13</f>
        <v>2148.0944</v>
      </c>
      <c r="G15" s="9" t="n">
        <f aca="false">'Qté 2027'!BD13</f>
        <v>37.19</v>
      </c>
    </row>
    <row r="16" customFormat="false" ht="15" hidden="false" customHeight="false" outlineLevel="0" collapsed="false">
      <c r="A16" s="5" t="s">
        <v>23</v>
      </c>
      <c r="B16" s="11" t="n">
        <v>1</v>
      </c>
      <c r="C16" s="6" t="n">
        <f aca="false">$B$12*B16</f>
        <v>65833.1072</v>
      </c>
      <c r="E16" s="7" t="str">
        <f aca="false">'CA 2027'!A14</f>
        <v>Chlore choc pastille</v>
      </c>
      <c r="F16" s="8" t="n">
        <f aca="false">'CA 2027'!BD14</f>
        <v>1634.1402</v>
      </c>
      <c r="G16" s="9" t="n">
        <f aca="false">'Qté 2027'!BD14</f>
        <v>45.57</v>
      </c>
    </row>
    <row r="17" customFormat="false" ht="15" hidden="false" customHeight="false" outlineLevel="0" collapsed="false">
      <c r="A17" s="5" t="s">
        <v>24</v>
      </c>
      <c r="B17" s="11" t="n">
        <v>1.2</v>
      </c>
      <c r="C17" s="6" t="n">
        <f aca="false">$B$12*B17</f>
        <v>78999.72864</v>
      </c>
      <c r="E17" s="7" t="str">
        <f aca="false">'CA 2027'!A15</f>
        <v>Aquachek chlorine</v>
      </c>
      <c r="F17" s="8" t="n">
        <f aca="false">'CA 2027'!BD15</f>
        <v>1252.104</v>
      </c>
      <c r="G17" s="9" t="n">
        <f aca="false">'Qté 2027'!BD15</f>
        <v>69.6</v>
      </c>
    </row>
    <row r="18" customFormat="false" ht="15" hidden="false" customHeight="false" outlineLevel="0" collapsed="false">
      <c r="E18" s="7" t="str">
        <f aca="false">'CA 2027'!A16</f>
        <v>Chlorit Granulé</v>
      </c>
      <c r="F18" s="8" t="n">
        <f aca="false">'CA 2027'!BD16</f>
        <v>1180.8</v>
      </c>
      <c r="G18" s="9" t="n">
        <f aca="false">'Qté 2027'!BD16</f>
        <v>19.68</v>
      </c>
    </row>
    <row r="19" customFormat="false" ht="15" hidden="false" customHeight="false" outlineLevel="0" collapsed="false">
      <c r="A19" s="3" t="s">
        <v>25</v>
      </c>
      <c r="E19" s="7" t="str">
        <f aca="false">'CA 2027'!A17</f>
        <v>Phos Out 3XL</v>
      </c>
      <c r="F19" s="8" t="n">
        <f aca="false">'CA 2027'!BD17</f>
        <v>1157.5572</v>
      </c>
      <c r="G19" s="9" t="n">
        <f aca="false">'Qté 2027'!BD17</f>
        <v>30.43</v>
      </c>
    </row>
    <row r="20" customFormat="false" ht="15" hidden="false" customHeight="false" outlineLevel="0" collapsed="false">
      <c r="A20" s="4" t="s">
        <v>26</v>
      </c>
      <c r="B20" s="4" t="s">
        <v>9</v>
      </c>
      <c r="C20" s="4" t="s">
        <v>27</v>
      </c>
      <c r="E20" s="7" t="str">
        <f aca="false">'CA 2027'!A18</f>
        <v>ACTI Winter Pro</v>
      </c>
      <c r="F20" s="8" t="n">
        <f aca="false">'CA 2027'!BD18</f>
        <v>973.4256</v>
      </c>
      <c r="G20" s="9" t="n">
        <f aca="false">'Qté 2027'!BD18</f>
        <v>42.92</v>
      </c>
    </row>
    <row r="21" customFormat="false" ht="15" hidden="false" customHeight="false" outlineLevel="0" collapsed="false">
      <c r="A21" s="5" t="s">
        <v>28</v>
      </c>
      <c r="B21" s="6" t="n">
        <f aca="false">SUM('CA 2027'!D197:G197)</f>
        <v>100.509</v>
      </c>
      <c r="C21" s="2" t="s">
        <v>29</v>
      </c>
      <c r="E21" s="7" t="str">
        <f aca="false">'CA 2027'!A19</f>
        <v>Chlore liquide cl 48</v>
      </c>
      <c r="F21" s="8" t="n">
        <f aca="false">'CA 2027'!BD19</f>
        <v>808.272</v>
      </c>
      <c r="G21" s="9" t="n">
        <f aca="false">'Qté 2027'!BD19</f>
        <v>18.71</v>
      </c>
    </row>
    <row r="22" customFormat="false" ht="15" hidden="false" customHeight="false" outlineLevel="0" collapsed="false">
      <c r="A22" s="5" t="s">
        <v>30</v>
      </c>
      <c r="B22" s="6" t="n">
        <f aca="false">SUM('CA 2027'!H197:K197)</f>
        <v>152.3008</v>
      </c>
      <c r="C22" s="2" t="s">
        <v>31</v>
      </c>
    </row>
    <row r="23" customFormat="false" ht="15" hidden="false" customHeight="false" outlineLevel="0" collapsed="false">
      <c r="A23" s="5" t="s">
        <v>32</v>
      </c>
      <c r="B23" s="6" t="n">
        <f aca="false">SUM('CA 2027'!L197:P197)</f>
        <v>1309.6871</v>
      </c>
      <c r="C23" s="2" t="s">
        <v>33</v>
      </c>
    </row>
    <row r="24" customFormat="false" ht="15" hidden="false" customHeight="false" outlineLevel="0" collapsed="false">
      <c r="A24" s="5" t="s">
        <v>34</v>
      </c>
      <c r="B24" s="6" t="n">
        <f aca="false">SUM('CA 2027'!Q197:T197)</f>
        <v>5798.4478</v>
      </c>
      <c r="C24" s="2" t="s">
        <v>35</v>
      </c>
      <c r="E24" s="3" t="s">
        <v>36</v>
      </c>
    </row>
    <row r="25" customFormat="false" ht="15" hidden="false" customHeight="false" outlineLevel="0" collapsed="false">
      <c r="A25" s="12" t="s">
        <v>37</v>
      </c>
      <c r="B25" s="13" t="n">
        <f aca="false">SUM('CA 2027'!U197:Y197)</f>
        <v>15745.2661</v>
      </c>
      <c r="C25" s="14" t="s">
        <v>38</v>
      </c>
      <c r="E25" s="4" t="s">
        <v>39</v>
      </c>
      <c r="F25" s="4" t="s">
        <v>9</v>
      </c>
    </row>
    <row r="26" customFormat="false" ht="15" hidden="false" customHeight="false" outlineLevel="0" collapsed="false">
      <c r="A26" s="12" t="s">
        <v>40</v>
      </c>
      <c r="B26" s="13" t="n">
        <f aca="false">SUM('CA 2027'!Z197:AC197)</f>
        <v>14891.3941</v>
      </c>
      <c r="C26" s="14" t="s">
        <v>41</v>
      </c>
      <c r="E26" s="5" t="s">
        <v>42</v>
      </c>
      <c r="F26" s="6" t="n">
        <f aca="false">SUMIF('CA 2027'!$B$5:$B$196,E26,'CA 2027'!$BD$5:$BD$196)</f>
        <v>117.1196</v>
      </c>
    </row>
    <row r="27" customFormat="false" ht="15" hidden="false" customHeight="false" outlineLevel="0" collapsed="false">
      <c r="A27" s="12" t="s">
        <v>43</v>
      </c>
      <c r="B27" s="13" t="n">
        <f aca="false">SUM('CA 2027'!AD197:AG197)</f>
        <v>13258.0118</v>
      </c>
      <c r="C27" s="14" t="s">
        <v>44</v>
      </c>
      <c r="E27" s="5" t="s">
        <v>45</v>
      </c>
      <c r="F27" s="6" t="n">
        <f aca="false">SUMIF('CA 2027'!$B$5:$B$196,E27,'CA 2027'!$BD$5:$BD$196)</f>
        <v>4086.9422</v>
      </c>
    </row>
    <row r="28" customFormat="false" ht="15" hidden="false" customHeight="false" outlineLevel="0" collapsed="false">
      <c r="A28" s="5" t="s">
        <v>46</v>
      </c>
      <c r="B28" s="6" t="n">
        <f aca="false">SUM('CA 2027'!AH197:AL197)</f>
        <v>8636.4826</v>
      </c>
      <c r="C28" s="2" t="s">
        <v>47</v>
      </c>
      <c r="E28" s="5" t="s">
        <v>48</v>
      </c>
      <c r="F28" s="6" t="n">
        <f aca="false">SUMIF('CA 2027'!$B$5:$B$196,E28,'CA 2027'!$BD$5:$BD$196)</f>
        <v>1001.3118</v>
      </c>
    </row>
    <row r="29" customFormat="false" ht="15" hidden="false" customHeight="false" outlineLevel="0" collapsed="false">
      <c r="A29" s="5" t="s">
        <v>49</v>
      </c>
      <c r="B29" s="6" t="n">
        <f aca="false">SUM('CA 2027'!AM197:AP197)</f>
        <v>3239.3237</v>
      </c>
      <c r="C29" s="2" t="s">
        <v>50</v>
      </c>
      <c r="E29" s="5" t="s">
        <v>51</v>
      </c>
      <c r="F29" s="6" t="n">
        <f aca="false">SUMIF('CA 2027'!$B$5:$B$196,E29,'CA 2027'!$BD$5:$BD$196)</f>
        <v>4599.1925</v>
      </c>
    </row>
    <row r="30" customFormat="false" ht="15" hidden="false" customHeight="false" outlineLevel="0" collapsed="false">
      <c r="A30" s="5" t="s">
        <v>52</v>
      </c>
      <c r="B30" s="6" t="n">
        <f aca="false">SUM('CA 2027'!AQ197:AT197)</f>
        <v>1574.4255</v>
      </c>
      <c r="C30" s="2" t="s">
        <v>53</v>
      </c>
      <c r="E30" s="5" t="s">
        <v>54</v>
      </c>
      <c r="F30" s="6" t="n">
        <f aca="false">SUMIF('CA 2027'!$B$5:$B$196,E30,'CA 2027'!$BD$5:$BD$196)</f>
        <v>14.6964</v>
      </c>
    </row>
    <row r="31" customFormat="false" ht="15" hidden="false" customHeight="false" outlineLevel="0" collapsed="false">
      <c r="A31" s="5" t="s">
        <v>55</v>
      </c>
      <c r="B31" s="6" t="n">
        <f aca="false">SUM('CA 2027'!AU197:AY197)</f>
        <v>916.9998</v>
      </c>
      <c r="C31" s="2" t="s">
        <v>56</v>
      </c>
      <c r="E31" s="5" t="s">
        <v>57</v>
      </c>
      <c r="F31" s="6" t="n">
        <f aca="false">SUMIF('CA 2027'!$B$5:$B$196,E31,'CA 2027'!$BD$5:$BD$196)</f>
        <v>7459.1084</v>
      </c>
    </row>
    <row r="32" customFormat="false" ht="15" hidden="false" customHeight="false" outlineLevel="0" collapsed="false">
      <c r="A32" s="5" t="s">
        <v>58</v>
      </c>
      <c r="B32" s="6" t="n">
        <f aca="false">SUM('CA 2027'!AZ197:BC197)</f>
        <v>210.2589</v>
      </c>
      <c r="C32" s="2" t="s">
        <v>59</v>
      </c>
      <c r="E32" s="5" t="s">
        <v>60</v>
      </c>
      <c r="F32" s="6" t="n">
        <f aca="false">SUMIF('CA 2027'!$B$5:$B$196,E32,'CA 2027'!$BD$5:$BD$196)</f>
        <v>418.0428</v>
      </c>
    </row>
    <row r="33" customFormat="false" ht="15" hidden="false" customHeight="false" outlineLevel="0" collapsed="false">
      <c r="A33" s="3" t="s">
        <v>61</v>
      </c>
      <c r="B33" s="15" t="n">
        <f aca="false">SUM(B21:B32)</f>
        <v>65833.1072</v>
      </c>
      <c r="E33" s="5" t="s">
        <v>62</v>
      </c>
      <c r="F33" s="6" t="n">
        <f aca="false">SUMIF('CA 2027'!$B$5:$B$196,E33,'CA 2027'!$BD$5:$BD$196)</f>
        <v>24373.7149</v>
      </c>
    </row>
    <row r="34" customFormat="false" ht="15" hidden="false" customHeight="false" outlineLevel="0" collapsed="false">
      <c r="E34" s="5" t="s">
        <v>63</v>
      </c>
      <c r="F34" s="6" t="n">
        <f aca="false">SUMIF('CA 2027'!$B$5:$B$196,E34,'CA 2027'!$BD$5:$BD$196)</f>
        <v>360.1644</v>
      </c>
    </row>
    <row r="35" customFormat="false" ht="15" hidden="false" customHeight="false" outlineLevel="0" collapsed="false">
      <c r="E35" s="5" t="s">
        <v>64</v>
      </c>
      <c r="F35" s="6" t="n">
        <f aca="false">SUMIF('CA 2027'!$B$5:$B$196,E35,'CA 2027'!$BD$5:$BD$196)</f>
        <v>202.5235</v>
      </c>
    </row>
    <row r="36" customFormat="false" ht="15" hidden="false" customHeight="false" outlineLevel="0" collapsed="false">
      <c r="A36" s="2" t="s">
        <v>65</v>
      </c>
      <c r="E36" s="5" t="s">
        <v>66</v>
      </c>
      <c r="F36" s="6" t="n">
        <f aca="false">SUMIF('CA 2027'!$B$5:$B$196,E36,'CA 2027'!$BD$5:$BD$196)</f>
        <v>488.392</v>
      </c>
    </row>
    <row r="37" customFormat="false" ht="15" hidden="false" customHeight="false" outlineLevel="0" collapsed="false">
      <c r="A37" s="2" t="s">
        <v>67</v>
      </c>
      <c r="E37" s="5" t="s">
        <v>68</v>
      </c>
      <c r="F37" s="6" t="n">
        <f aca="false">SUMIF('CA 2027'!$B$5:$B$196,E37,'CA 2027'!$BD$5:$BD$196)</f>
        <v>33.9</v>
      </c>
    </row>
    <row r="38" customFormat="false" ht="15" hidden="false" customHeight="false" outlineLevel="0" collapsed="false">
      <c r="E38" s="5" t="s">
        <v>69</v>
      </c>
      <c r="F38" s="6" t="n">
        <f aca="false">SUMIF('CA 2027'!$B$5:$B$196,E38,'CA 2027'!$BD$5:$BD$196)</f>
        <v>22677.9987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55" min="4" style="0" width="7.5"/>
    <col collapsed="false" customWidth="true" hidden="false" outlineLevel="0" max="56" min="56" style="0" width="11"/>
  </cols>
  <sheetData>
    <row r="1" customFormat="false" ht="17.35" hidden="false" customHeight="false" outlineLevel="0" collapsed="false">
      <c r="A1" s="16" t="s">
        <v>70</v>
      </c>
    </row>
    <row r="3" customFormat="false" ht="15" hidden="false" customHeight="false" outlineLevel="0" collapsed="false">
      <c r="A3" s="17" t="s">
        <v>8</v>
      </c>
      <c r="B3" s="17" t="s">
        <v>39</v>
      </c>
      <c r="C3" s="17" t="s">
        <v>71</v>
      </c>
      <c r="D3" s="17" t="s">
        <v>72</v>
      </c>
      <c r="E3" s="17" t="s">
        <v>73</v>
      </c>
      <c r="F3" s="17" t="s">
        <v>74</v>
      </c>
      <c r="G3" s="17" t="s">
        <v>75</v>
      </c>
      <c r="H3" s="17" t="s">
        <v>76</v>
      </c>
      <c r="I3" s="17" t="s">
        <v>77</v>
      </c>
      <c r="J3" s="17" t="s">
        <v>78</v>
      </c>
      <c r="K3" s="17" t="s">
        <v>79</v>
      </c>
      <c r="L3" s="17" t="s">
        <v>80</v>
      </c>
      <c r="M3" s="17" t="s">
        <v>81</v>
      </c>
      <c r="N3" s="17" t="s">
        <v>82</v>
      </c>
      <c r="O3" s="17" t="s">
        <v>83</v>
      </c>
      <c r="P3" s="17" t="s">
        <v>84</v>
      </c>
      <c r="Q3" s="17" t="s">
        <v>85</v>
      </c>
      <c r="R3" s="17" t="s">
        <v>86</v>
      </c>
      <c r="S3" s="17" t="s">
        <v>87</v>
      </c>
      <c r="T3" s="17" t="s">
        <v>88</v>
      </c>
      <c r="U3" s="17" t="s">
        <v>89</v>
      </c>
      <c r="V3" s="17" t="s">
        <v>90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95</v>
      </c>
      <c r="AB3" s="17" t="s">
        <v>96</v>
      </c>
      <c r="AC3" s="17" t="s">
        <v>97</v>
      </c>
      <c r="AD3" s="17" t="s">
        <v>98</v>
      </c>
      <c r="AE3" s="17" t="s">
        <v>99</v>
      </c>
      <c r="AF3" s="17" t="s">
        <v>100</v>
      </c>
      <c r="AG3" s="17" t="s">
        <v>101</v>
      </c>
      <c r="AH3" s="17" t="s">
        <v>102</v>
      </c>
      <c r="AI3" s="17" t="s">
        <v>103</v>
      </c>
      <c r="AJ3" s="17" t="s">
        <v>104</v>
      </c>
      <c r="AK3" s="17" t="s">
        <v>105</v>
      </c>
      <c r="AL3" s="17" t="s">
        <v>106</v>
      </c>
      <c r="AM3" s="17" t="s">
        <v>107</v>
      </c>
      <c r="AN3" s="17" t="s">
        <v>108</v>
      </c>
      <c r="AO3" s="17" t="s">
        <v>109</v>
      </c>
      <c r="AP3" s="17" t="s">
        <v>110</v>
      </c>
      <c r="AQ3" s="17" t="s">
        <v>111</v>
      </c>
      <c r="AR3" s="17" t="s">
        <v>112</v>
      </c>
      <c r="AS3" s="17" t="s">
        <v>113</v>
      </c>
      <c r="AT3" s="17" t="s">
        <v>114</v>
      </c>
      <c r="AU3" s="17" t="s">
        <v>115</v>
      </c>
      <c r="AV3" s="17" t="s">
        <v>116</v>
      </c>
      <c r="AW3" s="17" t="s">
        <v>117</v>
      </c>
      <c r="AX3" s="17" t="s">
        <v>118</v>
      </c>
      <c r="AY3" s="17" t="s">
        <v>119</v>
      </c>
      <c r="AZ3" s="17" t="s">
        <v>120</v>
      </c>
      <c r="BA3" s="17" t="s">
        <v>121</v>
      </c>
      <c r="BB3" s="17" t="s">
        <v>122</v>
      </c>
      <c r="BC3" s="17" t="s">
        <v>123</v>
      </c>
      <c r="BD3" s="17" t="s">
        <v>124</v>
      </c>
    </row>
    <row r="4" customFormat="false" ht="15" hidden="false" customHeight="false" outlineLevel="0" collapsed="false">
      <c r="A4" s="2" t="s">
        <v>125</v>
      </c>
      <c r="D4" s="18" t="s">
        <v>126</v>
      </c>
      <c r="E4" s="18" t="s">
        <v>127</v>
      </c>
      <c r="F4" s="18" t="s">
        <v>128</v>
      </c>
      <c r="G4" s="18" t="s">
        <v>129</v>
      </c>
      <c r="H4" s="18" t="s">
        <v>130</v>
      </c>
      <c r="I4" s="18" t="s">
        <v>131</v>
      </c>
      <c r="J4" s="18" t="s">
        <v>132</v>
      </c>
      <c r="K4" s="18" t="s">
        <v>133</v>
      </c>
      <c r="L4" s="18" t="s">
        <v>134</v>
      </c>
      <c r="M4" s="18" t="s">
        <v>135</v>
      </c>
      <c r="N4" s="18" t="s">
        <v>136</v>
      </c>
      <c r="O4" s="18" t="s">
        <v>137</v>
      </c>
      <c r="P4" s="18" t="s">
        <v>138</v>
      </c>
      <c r="Q4" s="18" t="s">
        <v>139</v>
      </c>
      <c r="R4" s="18" t="s">
        <v>140</v>
      </c>
      <c r="S4" s="18" t="s">
        <v>141</v>
      </c>
      <c r="T4" s="18" t="s">
        <v>142</v>
      </c>
      <c r="U4" s="18" t="s">
        <v>143</v>
      </c>
      <c r="V4" s="18" t="s">
        <v>144</v>
      </c>
      <c r="W4" s="18" t="s">
        <v>145</v>
      </c>
      <c r="X4" s="18" t="s">
        <v>146</v>
      </c>
      <c r="Y4" s="18" t="s">
        <v>147</v>
      </c>
      <c r="Z4" s="18" t="s">
        <v>148</v>
      </c>
      <c r="AA4" s="18" t="s">
        <v>149</v>
      </c>
      <c r="AB4" s="18" t="s">
        <v>150</v>
      </c>
      <c r="AC4" s="18" t="s">
        <v>151</v>
      </c>
      <c r="AD4" s="18" t="s">
        <v>152</v>
      </c>
      <c r="AE4" s="18" t="s">
        <v>153</v>
      </c>
      <c r="AF4" s="18" t="s">
        <v>154</v>
      </c>
      <c r="AG4" s="18" t="s">
        <v>155</v>
      </c>
      <c r="AH4" s="18" t="s">
        <v>156</v>
      </c>
      <c r="AI4" s="18" t="s">
        <v>157</v>
      </c>
      <c r="AJ4" s="18" t="s">
        <v>158</v>
      </c>
      <c r="AK4" s="18" t="s">
        <v>159</v>
      </c>
      <c r="AL4" s="18" t="s">
        <v>160</v>
      </c>
      <c r="AM4" s="18" t="s">
        <v>161</v>
      </c>
      <c r="AN4" s="18" t="s">
        <v>162</v>
      </c>
      <c r="AO4" s="18" t="s">
        <v>163</v>
      </c>
      <c r="AP4" s="18" t="s">
        <v>164</v>
      </c>
      <c r="AQ4" s="18" t="s">
        <v>165</v>
      </c>
      <c r="AR4" s="18" t="s">
        <v>166</v>
      </c>
      <c r="AS4" s="18" t="s">
        <v>167</v>
      </c>
      <c r="AT4" s="18" t="s">
        <v>168</v>
      </c>
      <c r="AU4" s="18" t="s">
        <v>169</v>
      </c>
      <c r="AV4" s="18" t="s">
        <v>170</v>
      </c>
      <c r="AW4" s="18" t="s">
        <v>171</v>
      </c>
      <c r="AX4" s="18" t="s">
        <v>172</v>
      </c>
      <c r="AY4" s="18" t="s">
        <v>173</v>
      </c>
      <c r="AZ4" s="18" t="s">
        <v>174</v>
      </c>
      <c r="BA4" s="18" t="s">
        <v>175</v>
      </c>
      <c r="BB4" s="18" t="s">
        <v>176</v>
      </c>
      <c r="BC4" s="18" t="s">
        <v>177</v>
      </c>
    </row>
    <row r="5" customFormat="false" ht="15" hidden="false" customHeight="false" outlineLevel="0" collapsed="false">
      <c r="A5" s="5" t="s">
        <v>178</v>
      </c>
      <c r="B5" s="5" t="s">
        <v>62</v>
      </c>
      <c r="C5" s="5" t="s">
        <v>179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0.08</v>
      </c>
      <c r="K5" s="19" t="n">
        <v>0.19</v>
      </c>
      <c r="L5" s="19" t="n">
        <v>0.23</v>
      </c>
      <c r="M5" s="19" t="n">
        <v>0.36</v>
      </c>
      <c r="N5" s="19" t="n">
        <v>0.45</v>
      </c>
      <c r="O5" s="19" t="n">
        <v>0.24</v>
      </c>
      <c r="P5" s="19" t="n">
        <v>0.23</v>
      </c>
      <c r="Q5" s="19" t="n">
        <v>0.8</v>
      </c>
      <c r="R5" s="19" t="n">
        <v>1.54</v>
      </c>
      <c r="S5" s="19" t="n">
        <v>1.95</v>
      </c>
      <c r="T5" s="19" t="n">
        <v>2.44</v>
      </c>
      <c r="U5" s="19" t="n">
        <v>3.19</v>
      </c>
      <c r="V5" s="19" t="n">
        <v>3.66</v>
      </c>
      <c r="W5" s="19" t="n">
        <v>4.14</v>
      </c>
      <c r="X5" s="19" t="n">
        <v>5.27</v>
      </c>
      <c r="Y5" s="19" t="n">
        <v>5.57</v>
      </c>
      <c r="Z5" s="19" t="n">
        <v>3.92</v>
      </c>
      <c r="AA5" s="19" t="n">
        <v>3.31</v>
      </c>
      <c r="AB5" s="19" t="n">
        <v>5.71</v>
      </c>
      <c r="AC5" s="19" t="n">
        <v>8.17</v>
      </c>
      <c r="AD5" s="19" t="n">
        <v>8.4</v>
      </c>
      <c r="AE5" s="19" t="n">
        <v>8.15</v>
      </c>
      <c r="AF5" s="19" t="n">
        <v>6.89</v>
      </c>
      <c r="AG5" s="19" t="n">
        <v>4.4</v>
      </c>
      <c r="AH5" s="19" t="n">
        <v>4.79</v>
      </c>
      <c r="AI5" s="19" t="n">
        <v>6.61</v>
      </c>
      <c r="AJ5" s="19" t="n">
        <v>5.15</v>
      </c>
      <c r="AK5" s="19" t="n">
        <v>2.21</v>
      </c>
      <c r="AL5" s="19" t="n">
        <v>1.84</v>
      </c>
      <c r="AM5" s="19" t="n">
        <v>2.34</v>
      </c>
      <c r="AN5" s="19" t="n">
        <v>1.3</v>
      </c>
      <c r="AO5" s="19" t="n">
        <v>0.35</v>
      </c>
      <c r="AP5" s="19" t="n">
        <v>0.23</v>
      </c>
      <c r="AQ5" s="19" t="n">
        <v>0.32</v>
      </c>
      <c r="AR5" s="19" t="n">
        <v>0.4</v>
      </c>
      <c r="AS5" s="19" t="n">
        <v>0.28</v>
      </c>
      <c r="AT5" s="19" t="n">
        <v>0.17</v>
      </c>
      <c r="AU5" s="19" t="n">
        <v>0.25</v>
      </c>
      <c r="AV5" s="19" t="n">
        <v>0.33</v>
      </c>
      <c r="AW5" s="19" t="n">
        <v>0.17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20" t="n">
        <f aca="false">SUM(D5:BC5)</f>
        <v>106.03</v>
      </c>
    </row>
    <row r="6" customFormat="false" ht="15" hidden="false" customHeight="false" outlineLevel="0" collapsed="false">
      <c r="A6" s="5" t="s">
        <v>180</v>
      </c>
      <c r="B6" s="5" t="s">
        <v>62</v>
      </c>
      <c r="C6" s="5" t="s">
        <v>179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0.27</v>
      </c>
      <c r="N6" s="19" t="n">
        <v>0.6</v>
      </c>
      <c r="O6" s="19" t="n">
        <v>0.63</v>
      </c>
      <c r="P6" s="19" t="n">
        <v>0.72</v>
      </c>
      <c r="Q6" s="19" t="n">
        <v>1.39</v>
      </c>
      <c r="R6" s="19" t="n">
        <v>2.75</v>
      </c>
      <c r="S6" s="19" t="n">
        <v>3.38</v>
      </c>
      <c r="T6" s="19" t="n">
        <v>3.11</v>
      </c>
      <c r="U6" s="19" t="n">
        <v>3.22</v>
      </c>
      <c r="V6" s="19" t="n">
        <v>3.67</v>
      </c>
      <c r="W6" s="19" t="n">
        <v>4.84</v>
      </c>
      <c r="X6" s="19" t="n">
        <v>6.08</v>
      </c>
      <c r="Y6" s="19" t="n">
        <v>5.8</v>
      </c>
      <c r="Z6" s="19" t="n">
        <v>5.07</v>
      </c>
      <c r="AA6" s="19" t="n">
        <v>5.86</v>
      </c>
      <c r="AB6" s="19" t="n">
        <v>7.9</v>
      </c>
      <c r="AC6" s="19" t="n">
        <v>9.13</v>
      </c>
      <c r="AD6" s="19" t="n">
        <v>7.99</v>
      </c>
      <c r="AE6" s="19" t="n">
        <v>5.16</v>
      </c>
      <c r="AF6" s="19" t="n">
        <v>2.51</v>
      </c>
      <c r="AG6" s="19" t="n">
        <v>1.51</v>
      </c>
      <c r="AH6" s="19" t="n">
        <v>1.86</v>
      </c>
      <c r="AI6" s="19" t="n">
        <v>1.96</v>
      </c>
      <c r="AJ6" s="19" t="n">
        <v>1.56</v>
      </c>
      <c r="AK6" s="19" t="n">
        <v>1.21</v>
      </c>
      <c r="AL6" s="19" t="n">
        <v>1.94</v>
      </c>
      <c r="AM6" s="19" t="n">
        <v>2.53</v>
      </c>
      <c r="AN6" s="19" t="n">
        <v>1.64</v>
      </c>
      <c r="AO6" s="19" t="n">
        <v>1.03</v>
      </c>
      <c r="AP6" s="19" t="n">
        <v>0.68</v>
      </c>
      <c r="AQ6" s="19" t="n">
        <v>0.22</v>
      </c>
      <c r="AR6" s="19" t="n">
        <v>0.27</v>
      </c>
      <c r="AS6" s="19" t="n">
        <v>0.63</v>
      </c>
      <c r="AT6" s="19" t="n">
        <v>0.75</v>
      </c>
      <c r="AU6" s="19" t="n">
        <v>0.5</v>
      </c>
      <c r="AV6" s="19" t="n">
        <v>0.25</v>
      </c>
      <c r="AW6" s="19" t="n">
        <v>0.08</v>
      </c>
      <c r="AX6" s="19" t="n">
        <v>0</v>
      </c>
      <c r="AY6" s="19" t="n">
        <v>0.08</v>
      </c>
      <c r="AZ6" s="19" t="n">
        <v>0.17</v>
      </c>
      <c r="BA6" s="19" t="n">
        <v>0.08</v>
      </c>
      <c r="BB6" s="19" t="n">
        <v>0</v>
      </c>
      <c r="BC6" s="19" t="n">
        <v>0</v>
      </c>
      <c r="BD6" s="20" t="n">
        <f aca="false">SUM(D6:BC6)</f>
        <v>99.03</v>
      </c>
    </row>
    <row r="7" customFormat="false" ht="15" hidden="false" customHeight="false" outlineLevel="0" collapsed="false">
      <c r="A7" s="5" t="s">
        <v>181</v>
      </c>
      <c r="B7" s="5" t="s">
        <v>57</v>
      </c>
      <c r="C7" s="5" t="s">
        <v>179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0.09</v>
      </c>
      <c r="M7" s="19" t="n">
        <v>0.86</v>
      </c>
      <c r="N7" s="19" t="n">
        <v>2.02</v>
      </c>
      <c r="O7" s="19" t="n">
        <v>2.8</v>
      </c>
      <c r="P7" s="19" t="n">
        <v>3.51</v>
      </c>
      <c r="Q7" s="19" t="n">
        <v>5.81</v>
      </c>
      <c r="R7" s="19" t="n">
        <v>11.55</v>
      </c>
      <c r="S7" s="19" t="n">
        <v>17.04</v>
      </c>
      <c r="T7" s="19" t="n">
        <v>20.16</v>
      </c>
      <c r="U7" s="19" t="n">
        <v>22.79</v>
      </c>
      <c r="V7" s="19" t="n">
        <v>24.33</v>
      </c>
      <c r="W7" s="19" t="n">
        <v>24.62</v>
      </c>
      <c r="X7" s="19" t="n">
        <v>24.82</v>
      </c>
      <c r="Y7" s="19" t="n">
        <v>22.04</v>
      </c>
      <c r="Z7" s="19" t="n">
        <v>13.43</v>
      </c>
      <c r="AA7" s="19" t="n">
        <v>8.98</v>
      </c>
      <c r="AB7" s="19" t="n">
        <v>11.77</v>
      </c>
      <c r="AC7" s="19" t="n">
        <v>12.44</v>
      </c>
      <c r="AD7" s="19" t="n">
        <v>11.27</v>
      </c>
      <c r="AE7" s="19" t="n">
        <v>9.54</v>
      </c>
      <c r="AF7" s="19" t="n">
        <v>6.21</v>
      </c>
      <c r="AG7" s="19" t="n">
        <v>3.94</v>
      </c>
      <c r="AH7" s="19" t="n">
        <v>2.82</v>
      </c>
      <c r="AI7" s="19" t="n">
        <v>1.96</v>
      </c>
      <c r="AJ7" s="19" t="n">
        <v>0.83</v>
      </c>
      <c r="AK7" s="19" t="n">
        <v>0.25</v>
      </c>
      <c r="AL7" s="19" t="n">
        <v>0.75</v>
      </c>
      <c r="AM7" s="19" t="n">
        <v>0.75</v>
      </c>
      <c r="AN7" s="19" t="n">
        <v>0.25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20" t="n">
        <f aca="false">SUM(D7:BC7)</f>
        <v>267.63</v>
      </c>
    </row>
    <row r="8" customFormat="false" ht="15" hidden="false" customHeight="false" outlineLevel="0" collapsed="false">
      <c r="A8" s="5" t="s">
        <v>182</v>
      </c>
      <c r="B8" s="5" t="s">
        <v>69</v>
      </c>
      <c r="C8" s="5" t="s">
        <v>179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0.09</v>
      </c>
      <c r="K8" s="19" t="n">
        <v>0.35</v>
      </c>
      <c r="L8" s="19" t="n">
        <v>0.72</v>
      </c>
      <c r="M8" s="19" t="n">
        <v>0.81</v>
      </c>
      <c r="N8" s="19" t="n">
        <v>1.01</v>
      </c>
      <c r="O8" s="19" t="n">
        <v>1.84</v>
      </c>
      <c r="P8" s="19" t="n">
        <v>2.02</v>
      </c>
      <c r="Q8" s="19" t="n">
        <v>2.03</v>
      </c>
      <c r="R8" s="19" t="n">
        <v>4.05</v>
      </c>
      <c r="S8" s="19" t="n">
        <v>7.1</v>
      </c>
      <c r="T8" s="19" t="n">
        <v>9.3</v>
      </c>
      <c r="U8" s="19" t="n">
        <v>9.21</v>
      </c>
      <c r="V8" s="19" t="n">
        <v>8.88</v>
      </c>
      <c r="W8" s="19" t="n">
        <v>13.5</v>
      </c>
      <c r="X8" s="19" t="n">
        <v>17.59</v>
      </c>
      <c r="Y8" s="19" t="n">
        <v>14.24</v>
      </c>
      <c r="Z8" s="19" t="n">
        <v>10.08</v>
      </c>
      <c r="AA8" s="19" t="n">
        <v>10.97</v>
      </c>
      <c r="AB8" s="19" t="n">
        <v>13.2</v>
      </c>
      <c r="AC8" s="19" t="n">
        <v>12.38</v>
      </c>
      <c r="AD8" s="19" t="n">
        <v>9.54</v>
      </c>
      <c r="AE8" s="19" t="n">
        <v>6.54</v>
      </c>
      <c r="AF8" s="19" t="n">
        <v>4</v>
      </c>
      <c r="AG8" s="19" t="n">
        <v>2.77</v>
      </c>
      <c r="AH8" s="19" t="n">
        <v>3.56</v>
      </c>
      <c r="AI8" s="19" t="n">
        <v>4.74</v>
      </c>
      <c r="AJ8" s="19" t="n">
        <v>3.77</v>
      </c>
      <c r="AK8" s="19" t="n">
        <v>1.94</v>
      </c>
      <c r="AL8" s="19" t="n">
        <v>2.28</v>
      </c>
      <c r="AM8" s="19" t="n">
        <v>3.21</v>
      </c>
      <c r="AN8" s="19" t="n">
        <v>1.64</v>
      </c>
      <c r="AO8" s="19" t="n">
        <v>0.53</v>
      </c>
      <c r="AP8" s="19" t="n">
        <v>1.06</v>
      </c>
      <c r="AQ8" s="19" t="n">
        <v>1.31</v>
      </c>
      <c r="AR8" s="19" t="n">
        <v>1.31</v>
      </c>
      <c r="AS8" s="19" t="n">
        <v>0.78</v>
      </c>
      <c r="AT8" s="19" t="n">
        <v>0.5</v>
      </c>
      <c r="AU8" s="19" t="n">
        <v>0.58</v>
      </c>
      <c r="AV8" s="19" t="n">
        <v>0.65</v>
      </c>
      <c r="AW8" s="19" t="n">
        <v>0.88</v>
      </c>
      <c r="AX8" s="19" t="n">
        <v>0.73</v>
      </c>
      <c r="AY8" s="19" t="n">
        <v>0.42</v>
      </c>
      <c r="AZ8" s="19" t="n">
        <v>0.17</v>
      </c>
      <c r="BA8" s="19" t="n">
        <v>0</v>
      </c>
      <c r="BB8" s="19" t="n">
        <v>0</v>
      </c>
      <c r="BC8" s="19" t="n">
        <v>0</v>
      </c>
      <c r="BD8" s="20" t="n">
        <f aca="false">SUM(D8:BC8)</f>
        <v>192.28</v>
      </c>
    </row>
    <row r="9" customFormat="false" ht="15" hidden="false" customHeight="false" outlineLevel="0" collapsed="false">
      <c r="A9" s="5" t="s">
        <v>183</v>
      </c>
      <c r="B9" s="5" t="s">
        <v>69</v>
      </c>
      <c r="C9" s="5" t="s">
        <v>179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0.06</v>
      </c>
      <c r="M9" s="19" t="n">
        <v>0.11</v>
      </c>
      <c r="N9" s="19" t="n">
        <v>0.06</v>
      </c>
      <c r="O9" s="19" t="n">
        <v>0</v>
      </c>
      <c r="P9" s="19" t="n">
        <v>0.09</v>
      </c>
      <c r="Q9" s="19" t="n">
        <v>0.33</v>
      </c>
      <c r="R9" s="19" t="n">
        <v>0.85</v>
      </c>
      <c r="S9" s="19" t="n">
        <v>1.16</v>
      </c>
      <c r="T9" s="19" t="n">
        <v>0.89</v>
      </c>
      <c r="U9" s="19" t="n">
        <v>0.82</v>
      </c>
      <c r="V9" s="19" t="n">
        <v>1.04</v>
      </c>
      <c r="W9" s="19" t="n">
        <v>1.25</v>
      </c>
      <c r="X9" s="19" t="n">
        <v>1.75</v>
      </c>
      <c r="Y9" s="19" t="n">
        <v>2.59</v>
      </c>
      <c r="Z9" s="19" t="n">
        <v>2.86</v>
      </c>
      <c r="AA9" s="19" t="n">
        <v>2.59</v>
      </c>
      <c r="AB9" s="19" t="n">
        <v>2.89</v>
      </c>
      <c r="AC9" s="19" t="n">
        <v>3.6</v>
      </c>
      <c r="AD9" s="19" t="n">
        <v>3.5</v>
      </c>
      <c r="AE9" s="19" t="n">
        <v>2.22</v>
      </c>
      <c r="AF9" s="19" t="n">
        <v>1.11</v>
      </c>
      <c r="AG9" s="19" t="n">
        <v>0.58</v>
      </c>
      <c r="AH9" s="19" t="n">
        <v>0.65</v>
      </c>
      <c r="AI9" s="19" t="n">
        <v>1.08</v>
      </c>
      <c r="AJ9" s="19" t="n">
        <v>0.8</v>
      </c>
      <c r="AK9" s="19" t="n">
        <v>0.37</v>
      </c>
      <c r="AL9" s="19" t="n">
        <v>0.7</v>
      </c>
      <c r="AM9" s="19" t="n">
        <v>0.9</v>
      </c>
      <c r="AN9" s="19" t="n">
        <v>0.48</v>
      </c>
      <c r="AO9" s="19" t="n">
        <v>0.7</v>
      </c>
      <c r="AP9" s="19" t="n">
        <v>1.05</v>
      </c>
      <c r="AQ9" s="19" t="n">
        <v>0.58</v>
      </c>
      <c r="AR9" s="19" t="n">
        <v>0.32</v>
      </c>
      <c r="AS9" s="19" t="n">
        <v>0.37</v>
      </c>
      <c r="AT9" s="19" t="n">
        <v>0.25</v>
      </c>
      <c r="AU9" s="19" t="n">
        <v>0.08</v>
      </c>
      <c r="AV9" s="19" t="n">
        <v>0</v>
      </c>
      <c r="AW9" s="19" t="n">
        <v>0</v>
      </c>
      <c r="AX9" s="19" t="n">
        <v>0</v>
      </c>
      <c r="AY9" s="19" t="n">
        <v>0.08</v>
      </c>
      <c r="AZ9" s="19" t="n">
        <v>0.17</v>
      </c>
      <c r="BA9" s="19" t="n">
        <v>0.08</v>
      </c>
      <c r="BB9" s="19" t="n">
        <v>0</v>
      </c>
      <c r="BC9" s="19" t="n">
        <v>0</v>
      </c>
      <c r="BD9" s="20" t="n">
        <f aca="false">SUM(D9:BC9)</f>
        <v>39.01</v>
      </c>
    </row>
    <row r="10" customFormat="false" ht="15" hidden="false" customHeight="false" outlineLevel="0" collapsed="false">
      <c r="A10" s="5" t="s">
        <v>184</v>
      </c>
      <c r="B10" s="5" t="s">
        <v>69</v>
      </c>
      <c r="C10" s="5" t="s">
        <v>179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0.18</v>
      </c>
      <c r="O10" s="19" t="n">
        <v>0.52</v>
      </c>
      <c r="P10" s="19" t="n">
        <v>0.55</v>
      </c>
      <c r="Q10" s="19" t="n">
        <v>0.33</v>
      </c>
      <c r="R10" s="19" t="n">
        <v>0.51</v>
      </c>
      <c r="S10" s="19" t="n">
        <v>1.12</v>
      </c>
      <c r="T10" s="19" t="n">
        <v>1.29</v>
      </c>
      <c r="U10" s="19" t="n">
        <v>1.27</v>
      </c>
      <c r="V10" s="19" t="n">
        <v>2.6</v>
      </c>
      <c r="W10" s="19" t="n">
        <v>4.2</v>
      </c>
      <c r="X10" s="19" t="n">
        <v>4.23</v>
      </c>
      <c r="Y10" s="19" t="n">
        <v>3.56</v>
      </c>
      <c r="Z10" s="19" t="n">
        <v>3.21</v>
      </c>
      <c r="AA10" s="19" t="n">
        <v>3.75</v>
      </c>
      <c r="AB10" s="19" t="n">
        <v>4.51</v>
      </c>
      <c r="AC10" s="19" t="n">
        <v>4.32</v>
      </c>
      <c r="AD10" s="19" t="n">
        <v>3.97</v>
      </c>
      <c r="AE10" s="19" t="n">
        <v>3.85</v>
      </c>
      <c r="AF10" s="19" t="n">
        <v>3.64</v>
      </c>
      <c r="AG10" s="19" t="n">
        <v>3.51</v>
      </c>
      <c r="AH10" s="19" t="n">
        <v>3.17</v>
      </c>
      <c r="AI10" s="19" t="n">
        <v>2.23</v>
      </c>
      <c r="AJ10" s="19" t="n">
        <v>0.96</v>
      </c>
      <c r="AK10" s="19" t="n">
        <v>0.17</v>
      </c>
      <c r="AL10" s="19" t="n">
        <v>0.52</v>
      </c>
      <c r="AM10" s="19" t="n">
        <v>1.11</v>
      </c>
      <c r="AN10" s="19" t="n">
        <v>1</v>
      </c>
      <c r="AO10" s="19" t="n">
        <v>0.83</v>
      </c>
      <c r="AP10" s="19" t="n">
        <v>0.83</v>
      </c>
      <c r="AQ10" s="19" t="n">
        <v>1.11</v>
      </c>
      <c r="AR10" s="19" t="n">
        <v>1.15</v>
      </c>
      <c r="AS10" s="19" t="n">
        <v>0.43</v>
      </c>
      <c r="AT10" s="19" t="n">
        <v>0</v>
      </c>
      <c r="AU10" s="19" t="n">
        <v>0.08</v>
      </c>
      <c r="AV10" s="19" t="n">
        <v>0.17</v>
      </c>
      <c r="AW10" s="19" t="n">
        <v>0.08</v>
      </c>
      <c r="AX10" s="19" t="n">
        <v>0.17</v>
      </c>
      <c r="AY10" s="19" t="n">
        <v>0.33</v>
      </c>
      <c r="AZ10" s="19" t="n">
        <v>0.17</v>
      </c>
      <c r="BA10" s="19" t="n">
        <v>0.12</v>
      </c>
      <c r="BB10" s="19" t="n">
        <v>0.23</v>
      </c>
      <c r="BC10" s="19" t="n">
        <v>0.12</v>
      </c>
      <c r="BD10" s="20" t="n">
        <f aca="false">SUM(D10:BC10)</f>
        <v>66.1</v>
      </c>
    </row>
    <row r="11" customFormat="false" ht="15" hidden="false" customHeight="false" outlineLevel="0" collapsed="false">
      <c r="A11" s="5" t="s">
        <v>185</v>
      </c>
      <c r="B11" s="5" t="s">
        <v>69</v>
      </c>
      <c r="C11" s="5" t="s">
        <v>179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0.02</v>
      </c>
      <c r="L11" s="19" t="n">
        <v>0.05</v>
      </c>
      <c r="M11" s="19" t="n">
        <v>0.17</v>
      </c>
      <c r="N11" s="19" t="n">
        <v>0.6</v>
      </c>
      <c r="O11" s="19" t="n">
        <v>1.08</v>
      </c>
      <c r="P11" s="19" t="n">
        <v>1.25</v>
      </c>
      <c r="Q11" s="19" t="n">
        <v>1.88</v>
      </c>
      <c r="R11" s="19" t="n">
        <v>3.1</v>
      </c>
      <c r="S11" s="19" t="n">
        <v>3.45</v>
      </c>
      <c r="T11" s="19" t="n">
        <v>3.91</v>
      </c>
      <c r="U11" s="19" t="n">
        <v>4.8</v>
      </c>
      <c r="V11" s="19" t="n">
        <v>4.73</v>
      </c>
      <c r="W11" s="19" t="n">
        <v>4.99</v>
      </c>
      <c r="X11" s="19" t="n">
        <v>5.11</v>
      </c>
      <c r="Y11" s="19" t="n">
        <v>4.02</v>
      </c>
      <c r="Z11" s="19" t="n">
        <v>4.51</v>
      </c>
      <c r="AA11" s="19" t="n">
        <v>6.78</v>
      </c>
      <c r="AB11" s="19" t="n">
        <v>7.63</v>
      </c>
      <c r="AC11" s="19" t="n">
        <v>6.94</v>
      </c>
      <c r="AD11" s="19" t="n">
        <v>6.49</v>
      </c>
      <c r="AE11" s="19" t="n">
        <v>6.64</v>
      </c>
      <c r="AF11" s="19" t="n">
        <v>6.13</v>
      </c>
      <c r="AG11" s="19" t="n">
        <v>5.12</v>
      </c>
      <c r="AH11" s="19" t="n">
        <v>5.3</v>
      </c>
      <c r="AI11" s="19" t="n">
        <v>5.22</v>
      </c>
      <c r="AJ11" s="19" t="n">
        <v>3.04</v>
      </c>
      <c r="AK11" s="19" t="n">
        <v>1.33</v>
      </c>
      <c r="AL11" s="19" t="n">
        <v>1.71</v>
      </c>
      <c r="AM11" s="19" t="n">
        <v>1.76</v>
      </c>
      <c r="AN11" s="19" t="n">
        <v>0.93</v>
      </c>
      <c r="AO11" s="19" t="n">
        <v>0.81</v>
      </c>
      <c r="AP11" s="19" t="n">
        <v>0.91</v>
      </c>
      <c r="AQ11" s="19" t="n">
        <v>0.63</v>
      </c>
      <c r="AR11" s="19" t="n">
        <v>0.61</v>
      </c>
      <c r="AS11" s="19" t="n">
        <v>0.61</v>
      </c>
      <c r="AT11" s="19" t="n">
        <v>0.7</v>
      </c>
      <c r="AU11" s="19" t="n">
        <v>0.9</v>
      </c>
      <c r="AV11" s="19" t="n">
        <v>0.61</v>
      </c>
      <c r="AW11" s="19" t="n">
        <v>0.33</v>
      </c>
      <c r="AX11" s="19" t="n">
        <v>0.33</v>
      </c>
      <c r="AY11" s="19" t="n">
        <v>0.25</v>
      </c>
      <c r="AZ11" s="19" t="n">
        <v>0.08</v>
      </c>
      <c r="BA11" s="19" t="n">
        <v>0.12</v>
      </c>
      <c r="BB11" s="19" t="n">
        <v>0.23</v>
      </c>
      <c r="BC11" s="19" t="n">
        <v>0.12</v>
      </c>
      <c r="BD11" s="20" t="n">
        <f aca="false">SUM(D11:BC11)</f>
        <v>115.93</v>
      </c>
    </row>
    <row r="12" customFormat="false" ht="15" hidden="false" customHeight="false" outlineLevel="0" collapsed="false">
      <c r="A12" s="5" t="s">
        <v>186</v>
      </c>
      <c r="B12" s="5" t="s">
        <v>51</v>
      </c>
      <c r="C12" s="5" t="s">
        <v>179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0.2</v>
      </c>
      <c r="O12" s="19" t="n">
        <v>0.41</v>
      </c>
      <c r="P12" s="19" t="n">
        <v>0.4</v>
      </c>
      <c r="Q12" s="19" t="n">
        <v>0.9</v>
      </c>
      <c r="R12" s="19" t="n">
        <v>1.5</v>
      </c>
      <c r="S12" s="19" t="n">
        <v>1.06</v>
      </c>
      <c r="T12" s="19" t="n">
        <v>0.44</v>
      </c>
      <c r="U12" s="19" t="n">
        <v>0.55</v>
      </c>
      <c r="V12" s="19" t="n">
        <v>0.76</v>
      </c>
      <c r="W12" s="19" t="n">
        <v>1.16</v>
      </c>
      <c r="X12" s="19" t="n">
        <v>2.03</v>
      </c>
      <c r="Y12" s="19" t="n">
        <v>2.03</v>
      </c>
      <c r="Z12" s="19" t="n">
        <v>1.71</v>
      </c>
      <c r="AA12" s="19" t="n">
        <v>2.44</v>
      </c>
      <c r="AB12" s="19" t="n">
        <v>3.72</v>
      </c>
      <c r="AC12" s="19" t="n">
        <v>5.02</v>
      </c>
      <c r="AD12" s="19" t="n">
        <v>5.38</v>
      </c>
      <c r="AE12" s="19" t="n">
        <v>4.15</v>
      </c>
      <c r="AF12" s="19" t="n">
        <v>2.61</v>
      </c>
      <c r="AG12" s="19" t="n">
        <v>1.79</v>
      </c>
      <c r="AH12" s="19" t="n">
        <v>1.6</v>
      </c>
      <c r="AI12" s="19" t="n">
        <v>2.09</v>
      </c>
      <c r="AJ12" s="19" t="n">
        <v>2.21</v>
      </c>
      <c r="AK12" s="19" t="n">
        <v>1.45</v>
      </c>
      <c r="AL12" s="19" t="n">
        <v>0.96</v>
      </c>
      <c r="AM12" s="19" t="n">
        <v>0.61</v>
      </c>
      <c r="AN12" s="19" t="n">
        <v>0.4</v>
      </c>
      <c r="AO12" s="19" t="n">
        <v>0.47</v>
      </c>
      <c r="AP12" s="19" t="n">
        <v>0.23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0.08</v>
      </c>
      <c r="AY12" s="19" t="n">
        <v>0.17</v>
      </c>
      <c r="AZ12" s="19" t="n">
        <v>0.08</v>
      </c>
      <c r="BA12" s="19" t="n">
        <v>0</v>
      </c>
      <c r="BB12" s="19" t="n">
        <v>0</v>
      </c>
      <c r="BC12" s="19" t="n">
        <v>0</v>
      </c>
      <c r="BD12" s="20" t="n">
        <f aca="false">SUM(D12:BC12)</f>
        <v>48.61</v>
      </c>
    </row>
    <row r="13" customFormat="false" ht="15" hidden="false" customHeight="false" outlineLevel="0" collapsed="false">
      <c r="A13" s="5" t="s">
        <v>187</v>
      </c>
      <c r="B13" s="5" t="s">
        <v>62</v>
      </c>
      <c r="C13" s="5" t="s">
        <v>179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0.06</v>
      </c>
      <c r="O13" s="19" t="n">
        <v>0.28</v>
      </c>
      <c r="P13" s="19" t="n">
        <v>0.4</v>
      </c>
      <c r="Q13" s="19" t="n">
        <v>0.64</v>
      </c>
      <c r="R13" s="19" t="n">
        <v>1.32</v>
      </c>
      <c r="S13" s="19" t="n">
        <v>1.62</v>
      </c>
      <c r="T13" s="19" t="n">
        <v>1.43</v>
      </c>
      <c r="U13" s="19" t="n">
        <v>1.01</v>
      </c>
      <c r="V13" s="19" t="n">
        <v>0.66</v>
      </c>
      <c r="W13" s="19" t="n">
        <v>0.98</v>
      </c>
      <c r="X13" s="19" t="n">
        <v>1.81</v>
      </c>
      <c r="Y13" s="19" t="n">
        <v>2.17</v>
      </c>
      <c r="Z13" s="19" t="n">
        <v>1.84</v>
      </c>
      <c r="AA13" s="19" t="n">
        <v>2.06</v>
      </c>
      <c r="AB13" s="19" t="n">
        <v>2.21</v>
      </c>
      <c r="AC13" s="19" t="n">
        <v>1.94</v>
      </c>
      <c r="AD13" s="19" t="n">
        <v>2.33</v>
      </c>
      <c r="AE13" s="19" t="n">
        <v>2.54</v>
      </c>
      <c r="AF13" s="19" t="n">
        <v>2.1</v>
      </c>
      <c r="AG13" s="19" t="n">
        <v>1.81</v>
      </c>
      <c r="AH13" s="19" t="n">
        <v>1.94</v>
      </c>
      <c r="AI13" s="19" t="n">
        <v>1.6</v>
      </c>
      <c r="AJ13" s="19" t="n">
        <v>0.6</v>
      </c>
      <c r="AK13" s="19" t="n">
        <v>0.32</v>
      </c>
      <c r="AL13" s="19" t="n">
        <v>0.73</v>
      </c>
      <c r="AM13" s="19" t="n">
        <v>0.66</v>
      </c>
      <c r="AN13" s="19" t="n">
        <v>0.2</v>
      </c>
      <c r="AO13" s="19" t="n">
        <v>0</v>
      </c>
      <c r="AP13" s="19" t="n">
        <v>0</v>
      </c>
      <c r="AQ13" s="19" t="n">
        <v>0.08</v>
      </c>
      <c r="AR13" s="19" t="n">
        <v>0.33</v>
      </c>
      <c r="AS13" s="19" t="n">
        <v>0.42</v>
      </c>
      <c r="AT13" s="19" t="n">
        <v>0.28</v>
      </c>
      <c r="AU13" s="19" t="n">
        <v>0.32</v>
      </c>
      <c r="AV13" s="19" t="n">
        <v>0.32</v>
      </c>
      <c r="AW13" s="19" t="n">
        <v>0.15</v>
      </c>
      <c r="AX13" s="19" t="n">
        <v>0.03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20" t="n">
        <f aca="false">SUM(D13:BC13)</f>
        <v>37.19</v>
      </c>
    </row>
    <row r="14" customFormat="false" ht="15" hidden="false" customHeight="false" outlineLevel="0" collapsed="false">
      <c r="A14" s="5" t="s">
        <v>188</v>
      </c>
      <c r="B14" s="5" t="s">
        <v>69</v>
      </c>
      <c r="C14" s="5" t="s">
        <v>179</v>
      </c>
      <c r="D14" s="19" t="n">
        <v>0</v>
      </c>
      <c r="E14" s="19" t="n">
        <v>0</v>
      </c>
      <c r="F14" s="19" t="n">
        <v>0.06</v>
      </c>
      <c r="G14" s="19" t="n">
        <v>0.11</v>
      </c>
      <c r="H14" s="19" t="n">
        <v>0.06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0.36</v>
      </c>
      <c r="O14" s="19" t="n">
        <v>0.76</v>
      </c>
      <c r="P14" s="19" t="n">
        <v>0.63</v>
      </c>
      <c r="Q14" s="19" t="n">
        <v>0.52</v>
      </c>
      <c r="R14" s="19" t="n">
        <v>0.68</v>
      </c>
      <c r="S14" s="19" t="n">
        <v>0.9</v>
      </c>
      <c r="T14" s="19" t="n">
        <v>1.02</v>
      </c>
      <c r="U14" s="19" t="n">
        <v>1.21</v>
      </c>
      <c r="V14" s="19" t="n">
        <v>1.48</v>
      </c>
      <c r="W14" s="19" t="n">
        <v>1.75</v>
      </c>
      <c r="X14" s="19" t="n">
        <v>2.2</v>
      </c>
      <c r="Y14" s="19" t="n">
        <v>2.37</v>
      </c>
      <c r="Z14" s="19" t="n">
        <v>1.94</v>
      </c>
      <c r="AA14" s="19" t="n">
        <v>1.66</v>
      </c>
      <c r="AB14" s="19" t="n">
        <v>2.12</v>
      </c>
      <c r="AC14" s="19" t="n">
        <v>3.01</v>
      </c>
      <c r="AD14" s="19" t="n">
        <v>3.42</v>
      </c>
      <c r="AE14" s="19" t="n">
        <v>3.03</v>
      </c>
      <c r="AF14" s="19" t="n">
        <v>2.43</v>
      </c>
      <c r="AG14" s="19" t="n">
        <v>1.73</v>
      </c>
      <c r="AH14" s="19" t="n">
        <v>1.56</v>
      </c>
      <c r="AI14" s="19" t="n">
        <v>2.34</v>
      </c>
      <c r="AJ14" s="19" t="n">
        <v>2.31</v>
      </c>
      <c r="AK14" s="19" t="n">
        <v>1.38</v>
      </c>
      <c r="AL14" s="19" t="n">
        <v>1.08</v>
      </c>
      <c r="AM14" s="19" t="n">
        <v>0.88</v>
      </c>
      <c r="AN14" s="19" t="n">
        <v>0.4</v>
      </c>
      <c r="AO14" s="19" t="n">
        <v>0.13</v>
      </c>
      <c r="AP14" s="19" t="n">
        <v>0.12</v>
      </c>
      <c r="AQ14" s="19" t="n">
        <v>0.13</v>
      </c>
      <c r="AR14" s="19" t="n">
        <v>0.25</v>
      </c>
      <c r="AS14" s="19" t="n">
        <v>0.45</v>
      </c>
      <c r="AT14" s="19" t="n">
        <v>0.33</v>
      </c>
      <c r="AU14" s="19" t="n">
        <v>0.12</v>
      </c>
      <c r="AV14" s="19" t="n">
        <v>0.07</v>
      </c>
      <c r="AW14" s="19" t="n">
        <v>0.07</v>
      </c>
      <c r="AX14" s="19" t="n">
        <v>0.15</v>
      </c>
      <c r="AY14" s="19" t="n">
        <v>0.23</v>
      </c>
      <c r="AZ14" s="19" t="n">
        <v>0.12</v>
      </c>
      <c r="BA14" s="19" t="n">
        <v>0</v>
      </c>
      <c r="BB14" s="19" t="n">
        <v>0</v>
      </c>
      <c r="BC14" s="19" t="n">
        <v>0</v>
      </c>
      <c r="BD14" s="20" t="n">
        <f aca="false">SUM(D14:BC14)</f>
        <v>45.57</v>
      </c>
    </row>
    <row r="15" customFormat="false" ht="15" hidden="false" customHeight="false" outlineLevel="0" collapsed="false">
      <c r="A15" s="5" t="s">
        <v>189</v>
      </c>
      <c r="B15" s="5" t="s">
        <v>45</v>
      </c>
      <c r="C15" s="5" t="s">
        <v>179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0.09</v>
      </c>
      <c r="O15" s="19" t="n">
        <v>0.29</v>
      </c>
      <c r="P15" s="19" t="n">
        <v>0.56</v>
      </c>
      <c r="Q15" s="19" t="n">
        <v>0.88</v>
      </c>
      <c r="R15" s="19" t="n">
        <v>1.05</v>
      </c>
      <c r="S15" s="19" t="n">
        <v>1.1</v>
      </c>
      <c r="T15" s="19" t="n">
        <v>1.81</v>
      </c>
      <c r="U15" s="19" t="n">
        <v>2.73</v>
      </c>
      <c r="V15" s="19" t="n">
        <v>3.01</v>
      </c>
      <c r="W15" s="19" t="n">
        <v>3.24</v>
      </c>
      <c r="X15" s="19" t="n">
        <v>3.41</v>
      </c>
      <c r="Y15" s="19" t="n">
        <v>3.47</v>
      </c>
      <c r="Z15" s="19" t="n">
        <v>3.28</v>
      </c>
      <c r="AA15" s="19" t="n">
        <v>3.36</v>
      </c>
      <c r="AB15" s="19" t="n">
        <v>4.14</v>
      </c>
      <c r="AC15" s="19" t="n">
        <v>5.21</v>
      </c>
      <c r="AD15" s="19" t="n">
        <v>6.07</v>
      </c>
      <c r="AE15" s="19" t="n">
        <v>5.11</v>
      </c>
      <c r="AF15" s="19" t="n">
        <v>3.15</v>
      </c>
      <c r="AG15" s="19" t="n">
        <v>2.36</v>
      </c>
      <c r="AH15" s="19" t="n">
        <v>2.82</v>
      </c>
      <c r="AI15" s="19" t="n">
        <v>3.54</v>
      </c>
      <c r="AJ15" s="19" t="n">
        <v>3.11</v>
      </c>
      <c r="AK15" s="19" t="n">
        <v>1.64</v>
      </c>
      <c r="AL15" s="19" t="n">
        <v>1.01</v>
      </c>
      <c r="AM15" s="19" t="n">
        <v>1</v>
      </c>
      <c r="AN15" s="19" t="n">
        <v>0.63</v>
      </c>
      <c r="AO15" s="19" t="n">
        <v>0.2</v>
      </c>
      <c r="AP15" s="19" t="n">
        <v>0.08</v>
      </c>
      <c r="AQ15" s="19" t="n">
        <v>0.17</v>
      </c>
      <c r="AR15" s="19" t="n">
        <v>0.17</v>
      </c>
      <c r="AS15" s="19" t="n">
        <v>0.25</v>
      </c>
      <c r="AT15" s="19" t="n">
        <v>0.25</v>
      </c>
      <c r="AU15" s="19" t="n">
        <v>0.08</v>
      </c>
      <c r="AV15" s="19" t="n">
        <v>0.08</v>
      </c>
      <c r="AW15" s="19" t="n">
        <v>0.17</v>
      </c>
      <c r="AX15" s="19" t="n">
        <v>0.08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20" t="n">
        <f aca="false">SUM(D15:BC15)</f>
        <v>69.6</v>
      </c>
    </row>
    <row r="16" customFormat="false" ht="15" hidden="false" customHeight="false" outlineLevel="0" collapsed="false">
      <c r="A16" s="5" t="s">
        <v>190</v>
      </c>
      <c r="B16" s="5" t="s">
        <v>69</v>
      </c>
      <c r="C16" s="5" t="s">
        <v>179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0.08</v>
      </c>
      <c r="R16" s="19" t="n">
        <v>0.35</v>
      </c>
      <c r="S16" s="19" t="n">
        <v>0.46</v>
      </c>
      <c r="T16" s="19" t="n">
        <v>0.35</v>
      </c>
      <c r="U16" s="19" t="n">
        <v>0.51</v>
      </c>
      <c r="V16" s="19" t="n">
        <v>1.11</v>
      </c>
      <c r="W16" s="19" t="n">
        <v>1.47</v>
      </c>
      <c r="X16" s="19" t="n">
        <v>0.92</v>
      </c>
      <c r="Y16" s="19" t="n">
        <v>0.59</v>
      </c>
      <c r="Z16" s="19" t="n">
        <v>0.87</v>
      </c>
      <c r="AA16" s="19" t="n">
        <v>0.72</v>
      </c>
      <c r="AB16" s="19" t="n">
        <v>0.43</v>
      </c>
      <c r="AC16" s="19" t="n">
        <v>0.78</v>
      </c>
      <c r="AD16" s="19" t="n">
        <v>1.2</v>
      </c>
      <c r="AE16" s="19" t="n">
        <v>1.14</v>
      </c>
      <c r="AF16" s="19" t="n">
        <v>1.38</v>
      </c>
      <c r="AG16" s="19" t="n">
        <v>1.3</v>
      </c>
      <c r="AH16" s="19" t="n">
        <v>0.65</v>
      </c>
      <c r="AI16" s="19" t="n">
        <v>0.65</v>
      </c>
      <c r="AJ16" s="19" t="n">
        <v>0.7</v>
      </c>
      <c r="AK16" s="19" t="n">
        <v>0.5</v>
      </c>
      <c r="AL16" s="19" t="n">
        <v>0.86</v>
      </c>
      <c r="AM16" s="19" t="n">
        <v>1.06</v>
      </c>
      <c r="AN16" s="19" t="n">
        <v>0.53</v>
      </c>
      <c r="AO16" s="19" t="n">
        <v>0.08</v>
      </c>
      <c r="AP16" s="19" t="n">
        <v>0</v>
      </c>
      <c r="AQ16" s="19" t="n">
        <v>0.08</v>
      </c>
      <c r="AR16" s="19" t="n">
        <v>0.17</v>
      </c>
      <c r="AS16" s="19" t="n">
        <v>0.08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0.08</v>
      </c>
      <c r="AY16" s="19" t="n">
        <v>0.17</v>
      </c>
      <c r="AZ16" s="19" t="n">
        <v>0.08</v>
      </c>
      <c r="BA16" s="19" t="n">
        <v>0.08</v>
      </c>
      <c r="BB16" s="19" t="n">
        <v>0.17</v>
      </c>
      <c r="BC16" s="19" t="n">
        <v>0.08</v>
      </c>
      <c r="BD16" s="20" t="n">
        <f aca="false">SUM(D16:BC16)</f>
        <v>19.68</v>
      </c>
    </row>
    <row r="17" customFormat="false" ht="15" hidden="false" customHeight="false" outlineLevel="0" collapsed="false">
      <c r="A17" s="5" t="s">
        <v>191</v>
      </c>
      <c r="B17" s="5" t="s">
        <v>62</v>
      </c>
      <c r="C17" s="5" t="s">
        <v>179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0.09</v>
      </c>
      <c r="N17" s="19" t="n">
        <v>0.18</v>
      </c>
      <c r="O17" s="19" t="n">
        <v>0.09</v>
      </c>
      <c r="P17" s="19" t="n">
        <v>0.09</v>
      </c>
      <c r="Q17" s="19" t="n">
        <v>0.34</v>
      </c>
      <c r="R17" s="19" t="n">
        <v>0.58</v>
      </c>
      <c r="S17" s="19" t="n">
        <v>0.67</v>
      </c>
      <c r="T17" s="19" t="n">
        <v>0.76</v>
      </c>
      <c r="U17" s="19" t="n">
        <v>1.07</v>
      </c>
      <c r="V17" s="19" t="n">
        <v>1.24</v>
      </c>
      <c r="W17" s="19" t="n">
        <v>1.2</v>
      </c>
      <c r="X17" s="19" t="n">
        <v>1.93</v>
      </c>
      <c r="Y17" s="19" t="n">
        <v>2.64</v>
      </c>
      <c r="Z17" s="19" t="n">
        <v>2.25</v>
      </c>
      <c r="AA17" s="19" t="n">
        <v>1.42</v>
      </c>
      <c r="AB17" s="19" t="n">
        <v>1.02</v>
      </c>
      <c r="AC17" s="19" t="n">
        <v>1.29</v>
      </c>
      <c r="AD17" s="19" t="n">
        <v>1.65</v>
      </c>
      <c r="AE17" s="19" t="n">
        <v>1.98</v>
      </c>
      <c r="AF17" s="19" t="n">
        <v>1.68</v>
      </c>
      <c r="AG17" s="19" t="n">
        <v>0.81</v>
      </c>
      <c r="AH17" s="19" t="n">
        <v>0.7</v>
      </c>
      <c r="AI17" s="19" t="n">
        <v>0.93</v>
      </c>
      <c r="AJ17" s="19" t="n">
        <v>0.58</v>
      </c>
      <c r="AK17" s="19" t="n">
        <v>0.12</v>
      </c>
      <c r="AL17" s="19" t="n">
        <v>0.35</v>
      </c>
      <c r="AM17" s="19" t="n">
        <v>0.81</v>
      </c>
      <c r="AN17" s="19" t="n">
        <v>0.93</v>
      </c>
      <c r="AO17" s="19" t="n">
        <v>0.93</v>
      </c>
      <c r="AP17" s="19" t="n">
        <v>0.58</v>
      </c>
      <c r="AQ17" s="19" t="n">
        <v>0.35</v>
      </c>
      <c r="AR17" s="19" t="n">
        <v>0.47</v>
      </c>
      <c r="AS17" s="19" t="n">
        <v>0.23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0.12</v>
      </c>
      <c r="BB17" s="19" t="n">
        <v>0.23</v>
      </c>
      <c r="BC17" s="19" t="n">
        <v>0.12</v>
      </c>
      <c r="BD17" s="20" t="n">
        <f aca="false">SUM(D17:BC17)</f>
        <v>30.43</v>
      </c>
    </row>
    <row r="18" customFormat="false" ht="15" hidden="false" customHeight="false" outlineLevel="0" collapsed="false">
      <c r="A18" s="5" t="s">
        <v>192</v>
      </c>
      <c r="B18" s="5" t="s">
        <v>48</v>
      </c>
      <c r="C18" s="5" t="s">
        <v>179</v>
      </c>
      <c r="D18" s="19" t="n">
        <v>0.1</v>
      </c>
      <c r="E18" s="19" t="n">
        <v>0.03</v>
      </c>
      <c r="F18" s="19" t="n">
        <v>0.06</v>
      </c>
      <c r="G18" s="19" t="n">
        <v>0.11</v>
      </c>
      <c r="H18" s="19" t="n">
        <v>0.06</v>
      </c>
      <c r="I18" s="19" t="n">
        <v>0.09</v>
      </c>
      <c r="J18" s="19" t="n">
        <v>0.18</v>
      </c>
      <c r="K18" s="19" t="n">
        <v>0.09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0</v>
      </c>
      <c r="R18" s="19" t="n">
        <v>0</v>
      </c>
      <c r="S18" s="19" t="n">
        <v>0.03</v>
      </c>
      <c r="T18" s="19" t="n">
        <v>0.07</v>
      </c>
      <c r="U18" s="19" t="n">
        <v>0.03</v>
      </c>
      <c r="V18" s="19" t="n">
        <v>0</v>
      </c>
      <c r="W18" s="19" t="n">
        <v>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>
        <v>0.08</v>
      </c>
      <c r="AI18" s="19" t="n">
        <v>0.17</v>
      </c>
      <c r="AJ18" s="19" t="n">
        <v>0.08</v>
      </c>
      <c r="AK18" s="19" t="n">
        <v>0.2</v>
      </c>
      <c r="AL18" s="19" t="n">
        <v>0.78</v>
      </c>
      <c r="AM18" s="19" t="n">
        <v>1.21</v>
      </c>
      <c r="AN18" s="19" t="n">
        <v>2.06</v>
      </c>
      <c r="AO18" s="19" t="n">
        <v>3.62</v>
      </c>
      <c r="AP18" s="19" t="n">
        <v>4.15</v>
      </c>
      <c r="AQ18" s="19" t="n">
        <v>4.1</v>
      </c>
      <c r="AR18" s="19" t="n">
        <v>4.29</v>
      </c>
      <c r="AS18" s="19" t="n">
        <v>4.14</v>
      </c>
      <c r="AT18" s="19" t="n">
        <v>3.51</v>
      </c>
      <c r="AU18" s="19" t="n">
        <v>2.53</v>
      </c>
      <c r="AV18" s="19" t="n">
        <v>2.08</v>
      </c>
      <c r="AW18" s="19" t="n">
        <v>2.41</v>
      </c>
      <c r="AX18" s="19" t="n">
        <v>2.63</v>
      </c>
      <c r="AY18" s="19" t="n">
        <v>1.84</v>
      </c>
      <c r="AZ18" s="19" t="n">
        <v>0.83</v>
      </c>
      <c r="BA18" s="19" t="n">
        <v>0.61</v>
      </c>
      <c r="BB18" s="19" t="n">
        <v>0.55</v>
      </c>
      <c r="BC18" s="19" t="n">
        <v>0.2</v>
      </c>
      <c r="BD18" s="20" t="n">
        <f aca="false">SUM(D18:BC18)</f>
        <v>42.92</v>
      </c>
    </row>
    <row r="19" customFormat="false" ht="15" hidden="false" customHeight="false" outlineLevel="0" collapsed="false">
      <c r="A19" s="5" t="s">
        <v>193</v>
      </c>
      <c r="B19" s="5" t="s">
        <v>69</v>
      </c>
      <c r="C19" s="5" t="s">
        <v>179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0.07</v>
      </c>
      <c r="O19" s="19" t="n">
        <v>0.14</v>
      </c>
      <c r="P19" s="19" t="n">
        <v>0.18</v>
      </c>
      <c r="Q19" s="19" t="n">
        <v>0.23</v>
      </c>
      <c r="R19" s="19" t="n">
        <v>0.11</v>
      </c>
      <c r="S19" s="19" t="n">
        <v>0.09</v>
      </c>
      <c r="T19" s="19" t="n">
        <v>0.18</v>
      </c>
      <c r="U19" s="19" t="n">
        <v>0.17</v>
      </c>
      <c r="V19" s="19" t="n">
        <v>0.44</v>
      </c>
      <c r="W19" s="19" t="n">
        <v>1.28</v>
      </c>
      <c r="X19" s="19" t="n">
        <v>1.82</v>
      </c>
      <c r="Y19" s="19" t="n">
        <v>1.18</v>
      </c>
      <c r="Z19" s="19" t="n">
        <v>0.27</v>
      </c>
      <c r="AA19" s="19" t="n">
        <v>0.44</v>
      </c>
      <c r="AB19" s="19" t="n">
        <v>1.23</v>
      </c>
      <c r="AC19" s="19" t="n">
        <v>1.37</v>
      </c>
      <c r="AD19" s="19" t="n">
        <v>1.13</v>
      </c>
      <c r="AE19" s="19" t="n">
        <v>1.05</v>
      </c>
      <c r="AF19" s="19" t="n">
        <v>0.86</v>
      </c>
      <c r="AG19" s="19" t="n">
        <v>0.61</v>
      </c>
      <c r="AH19" s="19" t="n">
        <v>0.63</v>
      </c>
      <c r="AI19" s="19" t="n">
        <v>1.11</v>
      </c>
      <c r="AJ19" s="19" t="n">
        <v>1.13</v>
      </c>
      <c r="AK19" s="19" t="n">
        <v>0.56</v>
      </c>
      <c r="AL19" s="19" t="n">
        <v>0.33</v>
      </c>
      <c r="AM19" s="19" t="n">
        <v>0.33</v>
      </c>
      <c r="AN19" s="19" t="n">
        <v>0.48</v>
      </c>
      <c r="AO19" s="19" t="n">
        <v>0.47</v>
      </c>
      <c r="AP19" s="19" t="n">
        <v>0.27</v>
      </c>
      <c r="AQ19" s="19" t="n">
        <v>0.23</v>
      </c>
      <c r="AR19" s="19" t="n">
        <v>0.12</v>
      </c>
      <c r="AS19" s="19" t="n">
        <v>0.05</v>
      </c>
      <c r="AT19" s="19" t="n">
        <v>0.1</v>
      </c>
      <c r="AU19" s="19" t="n">
        <v>0.05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20" t="n">
        <f aca="false">SUM(D19:BC19)</f>
        <v>18.71</v>
      </c>
    </row>
    <row r="20" customFormat="false" ht="15" hidden="false" customHeight="false" outlineLevel="0" collapsed="false">
      <c r="A20" s="5" t="s">
        <v>194</v>
      </c>
      <c r="B20" s="5" t="s">
        <v>51</v>
      </c>
      <c r="C20" s="5" t="s">
        <v>179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0.03</v>
      </c>
      <c r="N20" s="19" t="n">
        <v>0.14</v>
      </c>
      <c r="O20" s="19" t="n">
        <v>0.17</v>
      </c>
      <c r="P20" s="19" t="n">
        <v>0.1</v>
      </c>
      <c r="Q20" s="19" t="n">
        <v>0.1</v>
      </c>
      <c r="R20" s="19" t="n">
        <v>0.17</v>
      </c>
      <c r="S20" s="19" t="n">
        <v>0.17</v>
      </c>
      <c r="T20" s="19" t="n">
        <v>0.14</v>
      </c>
      <c r="U20" s="19" t="n">
        <v>0.27</v>
      </c>
      <c r="V20" s="19" t="n">
        <v>0.5</v>
      </c>
      <c r="W20" s="19" t="n">
        <v>0.96</v>
      </c>
      <c r="X20" s="19" t="n">
        <v>2.08</v>
      </c>
      <c r="Y20" s="19" t="n">
        <v>2.68</v>
      </c>
      <c r="Z20" s="19" t="n">
        <v>2.15</v>
      </c>
      <c r="AA20" s="19" t="n">
        <v>1.4</v>
      </c>
      <c r="AB20" s="19" t="n">
        <v>0.52</v>
      </c>
      <c r="AC20" s="19" t="n">
        <v>0.1</v>
      </c>
      <c r="AD20" s="19" t="n">
        <v>0.31</v>
      </c>
      <c r="AE20" s="19" t="n">
        <v>0.54</v>
      </c>
      <c r="AF20" s="19" t="n">
        <v>0.67</v>
      </c>
      <c r="AG20" s="19" t="n">
        <v>0.43</v>
      </c>
      <c r="AH20" s="19" t="n">
        <v>0.25</v>
      </c>
      <c r="AI20" s="19" t="n">
        <v>0.42</v>
      </c>
      <c r="AJ20" s="19" t="n">
        <v>0.38</v>
      </c>
      <c r="AK20" s="19" t="n">
        <v>0.22</v>
      </c>
      <c r="AL20" s="19" t="n">
        <v>0.2</v>
      </c>
      <c r="AM20" s="19" t="n">
        <v>0.1</v>
      </c>
      <c r="AN20" s="19" t="n">
        <v>0</v>
      </c>
      <c r="AO20" s="19" t="n">
        <v>0</v>
      </c>
      <c r="AP20" s="19" t="n">
        <v>0</v>
      </c>
      <c r="AQ20" s="19" t="n">
        <v>0</v>
      </c>
      <c r="AR20" s="19" t="n">
        <v>0</v>
      </c>
      <c r="AS20" s="19" t="n">
        <v>0</v>
      </c>
      <c r="AT20" s="19" t="n">
        <v>0</v>
      </c>
      <c r="AU20" s="19" t="n">
        <v>0</v>
      </c>
      <c r="AV20" s="19" t="n">
        <v>0</v>
      </c>
      <c r="AW20" s="19" t="n">
        <v>0</v>
      </c>
      <c r="AX20" s="19" t="n">
        <v>0</v>
      </c>
      <c r="AY20" s="19" t="n">
        <v>0</v>
      </c>
      <c r="AZ20" s="19" t="n">
        <v>0</v>
      </c>
      <c r="BA20" s="19" t="n">
        <v>0</v>
      </c>
      <c r="BB20" s="19" t="n">
        <v>0</v>
      </c>
      <c r="BC20" s="19" t="n">
        <v>0</v>
      </c>
      <c r="BD20" s="20" t="n">
        <f aca="false">SUM(D20:BC20)</f>
        <v>15.2</v>
      </c>
    </row>
    <row r="21" customFormat="false" ht="15" hidden="false" customHeight="false" outlineLevel="0" collapsed="false">
      <c r="A21" s="5" t="s">
        <v>195</v>
      </c>
      <c r="B21" s="5" t="s">
        <v>69</v>
      </c>
      <c r="C21" s="5" t="s">
        <v>196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0.16</v>
      </c>
      <c r="P21" s="19" t="n">
        <v>0.39</v>
      </c>
      <c r="Q21" s="19" t="n">
        <v>1.34</v>
      </c>
      <c r="R21" s="19" t="n">
        <v>2.43</v>
      </c>
      <c r="S21" s="19" t="n">
        <v>1.98</v>
      </c>
      <c r="T21" s="19" t="n">
        <v>2.72</v>
      </c>
      <c r="U21" s="19" t="n">
        <v>5.16</v>
      </c>
      <c r="V21" s="19" t="n">
        <v>5.99</v>
      </c>
      <c r="W21" s="19" t="n">
        <v>6.59</v>
      </c>
      <c r="X21" s="19" t="n">
        <v>7.11</v>
      </c>
      <c r="Y21" s="19" t="n">
        <v>6.7</v>
      </c>
      <c r="Z21" s="19" t="n">
        <v>6.82</v>
      </c>
      <c r="AA21" s="19" t="n">
        <v>7.08</v>
      </c>
      <c r="AB21" s="19" t="n">
        <v>7.26</v>
      </c>
      <c r="AC21" s="19" t="n">
        <v>6.44</v>
      </c>
      <c r="AD21" s="19" t="n">
        <v>4.6</v>
      </c>
      <c r="AE21" s="19" t="n">
        <v>3</v>
      </c>
      <c r="AF21" s="19" t="n">
        <v>1.91</v>
      </c>
      <c r="AG21" s="19" t="n">
        <v>2.38</v>
      </c>
      <c r="AH21" s="19" t="n">
        <v>3.86</v>
      </c>
      <c r="AI21" s="19" t="n">
        <v>5.16</v>
      </c>
      <c r="AJ21" s="19" t="n">
        <v>4.79</v>
      </c>
      <c r="AK21" s="19" t="n">
        <v>1.89</v>
      </c>
      <c r="AL21" s="19" t="n">
        <v>0</v>
      </c>
      <c r="AM21" s="19" t="n">
        <v>0</v>
      </c>
      <c r="AN21" s="19" t="n">
        <v>0.23</v>
      </c>
      <c r="AO21" s="19" t="n">
        <v>0.47</v>
      </c>
      <c r="AP21" s="19" t="n">
        <v>0.23</v>
      </c>
      <c r="AQ21" s="19" t="n">
        <v>0</v>
      </c>
      <c r="AR21" s="19" t="n">
        <v>0</v>
      </c>
      <c r="AS21" s="19" t="n">
        <v>0</v>
      </c>
      <c r="AT21" s="19" t="n">
        <v>0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20" t="n">
        <f aca="false">SUM(D21:BC21)</f>
        <v>96.69</v>
      </c>
    </row>
    <row r="22" customFormat="false" ht="15" hidden="false" customHeight="false" outlineLevel="0" collapsed="false">
      <c r="A22" s="5" t="s">
        <v>197</v>
      </c>
      <c r="B22" s="5" t="s">
        <v>69</v>
      </c>
      <c r="C22" s="5" t="s">
        <v>179</v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0.14</v>
      </c>
      <c r="P22" s="19" t="n">
        <v>0.27</v>
      </c>
      <c r="Q22" s="19" t="n">
        <v>0.27</v>
      </c>
      <c r="R22" s="19" t="n">
        <v>0.27</v>
      </c>
      <c r="S22" s="19" t="n">
        <v>0.19</v>
      </c>
      <c r="T22" s="19" t="n">
        <v>0.11</v>
      </c>
      <c r="U22" s="19" t="n">
        <v>0.14</v>
      </c>
      <c r="V22" s="19" t="n">
        <v>0.37</v>
      </c>
      <c r="W22" s="19" t="n">
        <v>1.65</v>
      </c>
      <c r="X22" s="19" t="n">
        <v>3.33</v>
      </c>
      <c r="Y22" s="19" t="n">
        <v>3.18</v>
      </c>
      <c r="Z22" s="19" t="n">
        <v>2.3</v>
      </c>
      <c r="AA22" s="19" t="n">
        <v>2.62</v>
      </c>
      <c r="AB22" s="19" t="n">
        <v>3.21</v>
      </c>
      <c r="AC22" s="19" t="n">
        <v>3.69</v>
      </c>
      <c r="AD22" s="19" t="n">
        <v>4.09</v>
      </c>
      <c r="AE22" s="19" t="n">
        <v>3.11</v>
      </c>
      <c r="AF22" s="19" t="n">
        <v>1.13</v>
      </c>
      <c r="AG22" s="19" t="n">
        <v>0.35</v>
      </c>
      <c r="AH22" s="19" t="n">
        <v>0.81</v>
      </c>
      <c r="AI22" s="19" t="n">
        <v>1.16</v>
      </c>
      <c r="AJ22" s="19" t="n">
        <v>0.7</v>
      </c>
      <c r="AK22" s="19" t="n">
        <v>0.12</v>
      </c>
      <c r="AL22" s="19" t="n">
        <v>0.12</v>
      </c>
      <c r="AM22" s="19" t="n">
        <v>0.35</v>
      </c>
      <c r="AN22" s="19" t="n">
        <v>0.35</v>
      </c>
      <c r="AO22" s="19" t="n">
        <v>0.12</v>
      </c>
      <c r="AP22" s="19" t="n">
        <v>0</v>
      </c>
      <c r="AQ22" s="19" t="n">
        <v>0</v>
      </c>
      <c r="AR22" s="19" t="n">
        <v>0</v>
      </c>
      <c r="AS22" s="19" t="n">
        <v>0</v>
      </c>
      <c r="AT22" s="19" t="n">
        <v>0</v>
      </c>
      <c r="AU22" s="19" t="n">
        <v>0</v>
      </c>
      <c r="AV22" s="19" t="n">
        <v>0</v>
      </c>
      <c r="AW22" s="19" t="n">
        <v>0</v>
      </c>
      <c r="AX22" s="19" t="n">
        <v>0</v>
      </c>
      <c r="AY22" s="19" t="n">
        <v>0</v>
      </c>
      <c r="AZ22" s="19" t="n">
        <v>0</v>
      </c>
      <c r="BA22" s="19" t="n">
        <v>0</v>
      </c>
      <c r="BB22" s="19" t="n">
        <v>0</v>
      </c>
      <c r="BC22" s="19" t="n">
        <v>0</v>
      </c>
      <c r="BD22" s="20" t="n">
        <f aca="false">SUM(D22:BC22)</f>
        <v>34.15</v>
      </c>
    </row>
    <row r="23" customFormat="false" ht="15" hidden="false" customHeight="false" outlineLevel="0" collapsed="false">
      <c r="A23" s="5" t="s">
        <v>198</v>
      </c>
      <c r="B23" s="5" t="s">
        <v>62</v>
      </c>
      <c r="C23" s="5" t="s">
        <v>179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19" t="n">
        <v>0.11</v>
      </c>
      <c r="R23" s="19" t="n">
        <v>0.34</v>
      </c>
      <c r="S23" s="19" t="n">
        <v>0.4</v>
      </c>
      <c r="T23" s="19" t="n">
        <v>0.34</v>
      </c>
      <c r="U23" s="19" t="n">
        <v>0.45</v>
      </c>
      <c r="V23" s="19" t="n">
        <v>0.56</v>
      </c>
      <c r="W23" s="19" t="n">
        <v>0.45</v>
      </c>
      <c r="X23" s="19" t="n">
        <v>0.34</v>
      </c>
      <c r="Y23" s="19" t="n">
        <v>0.28</v>
      </c>
      <c r="Z23" s="19" t="n">
        <v>0.17</v>
      </c>
      <c r="AA23" s="19" t="n">
        <v>0.11</v>
      </c>
      <c r="AB23" s="19" t="n">
        <v>0.28</v>
      </c>
      <c r="AC23" s="19" t="n">
        <v>0.73</v>
      </c>
      <c r="AD23" s="19" t="n">
        <v>1.19</v>
      </c>
      <c r="AE23" s="19" t="n">
        <v>1.24</v>
      </c>
      <c r="AF23" s="19" t="n">
        <v>0.98</v>
      </c>
      <c r="AG23" s="19" t="n">
        <v>1.08</v>
      </c>
      <c r="AH23" s="19" t="n">
        <v>1.5</v>
      </c>
      <c r="AI23" s="19" t="n">
        <v>1.41</v>
      </c>
      <c r="AJ23" s="19" t="n">
        <v>0.75</v>
      </c>
      <c r="AK23" s="19" t="n">
        <v>0.5</v>
      </c>
      <c r="AL23" s="19" t="n">
        <v>1</v>
      </c>
      <c r="AM23" s="19" t="n">
        <v>1.16</v>
      </c>
      <c r="AN23" s="19" t="n">
        <v>0.66</v>
      </c>
      <c r="AO23" s="19" t="n">
        <v>0.25</v>
      </c>
      <c r="AP23" s="19" t="n">
        <v>0.25</v>
      </c>
      <c r="AQ23" s="19" t="n">
        <v>0.33</v>
      </c>
      <c r="AR23" s="19" t="n">
        <v>0.42</v>
      </c>
      <c r="AS23" s="19" t="n">
        <v>0.5</v>
      </c>
      <c r="AT23" s="19" t="n">
        <v>0.42</v>
      </c>
      <c r="AU23" s="19" t="n">
        <v>0.42</v>
      </c>
      <c r="AV23" s="19" t="n">
        <v>0.42</v>
      </c>
      <c r="AW23" s="19" t="n">
        <v>0.17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20" t="n">
        <f aca="false">SUM(D23:BC23)</f>
        <v>19.21</v>
      </c>
    </row>
    <row r="24" customFormat="false" ht="15" hidden="false" customHeight="false" outlineLevel="0" collapsed="false">
      <c r="A24" s="5" t="s">
        <v>199</v>
      </c>
      <c r="B24" s="5" t="s">
        <v>51</v>
      </c>
      <c r="C24" s="5" t="s">
        <v>179</v>
      </c>
      <c r="D24" s="19" t="n">
        <v>0</v>
      </c>
      <c r="E24" s="19" t="n">
        <v>0</v>
      </c>
      <c r="F24" s="19" t="n">
        <v>0</v>
      </c>
      <c r="G24" s="19" t="n">
        <v>0.06</v>
      </c>
      <c r="H24" s="19" t="n">
        <v>0.11</v>
      </c>
      <c r="I24" s="19" t="n">
        <v>0.06</v>
      </c>
      <c r="J24" s="19" t="n">
        <v>0.08</v>
      </c>
      <c r="K24" s="19" t="n">
        <v>0.16</v>
      </c>
      <c r="L24" s="19" t="n">
        <v>0.24</v>
      </c>
      <c r="M24" s="19" t="n">
        <v>0.32</v>
      </c>
      <c r="N24" s="19" t="n">
        <v>0.43</v>
      </c>
      <c r="O24" s="19" t="n">
        <v>0.58</v>
      </c>
      <c r="P24" s="19" t="n">
        <v>0.4</v>
      </c>
      <c r="Q24" s="19" t="n">
        <v>0.15</v>
      </c>
      <c r="R24" s="19" t="n">
        <v>0.19</v>
      </c>
      <c r="S24" s="19" t="n">
        <v>0.64</v>
      </c>
      <c r="T24" s="19" t="n">
        <v>1.19</v>
      </c>
      <c r="U24" s="19" t="n">
        <v>1.25</v>
      </c>
      <c r="V24" s="19" t="n">
        <v>1.19</v>
      </c>
      <c r="W24" s="19" t="n">
        <v>1.68</v>
      </c>
      <c r="X24" s="19" t="n">
        <v>2.41</v>
      </c>
      <c r="Y24" s="19" t="n">
        <v>2.24</v>
      </c>
      <c r="Z24" s="19" t="n">
        <v>1.68</v>
      </c>
      <c r="AA24" s="19" t="n">
        <v>1.36</v>
      </c>
      <c r="AB24" s="19" t="n">
        <v>1.23</v>
      </c>
      <c r="AC24" s="19" t="n">
        <v>1.65</v>
      </c>
      <c r="AD24" s="19" t="n">
        <v>1.6</v>
      </c>
      <c r="AE24" s="19" t="n">
        <v>1.26</v>
      </c>
      <c r="AF24" s="19" t="n">
        <v>1.57</v>
      </c>
      <c r="AG24" s="19" t="n">
        <v>1.5</v>
      </c>
      <c r="AH24" s="19" t="n">
        <v>1.21</v>
      </c>
      <c r="AI24" s="19" t="n">
        <v>1.16</v>
      </c>
      <c r="AJ24" s="19" t="n">
        <v>0.68</v>
      </c>
      <c r="AK24" s="19" t="n">
        <v>0.66</v>
      </c>
      <c r="AL24" s="19" t="n">
        <v>1.23</v>
      </c>
      <c r="AM24" s="19" t="n">
        <v>1.4</v>
      </c>
      <c r="AN24" s="19" t="n">
        <v>1.4</v>
      </c>
      <c r="AO24" s="19" t="n">
        <v>1.11</v>
      </c>
      <c r="AP24" s="19" t="n">
        <v>0.68</v>
      </c>
      <c r="AQ24" s="19" t="n">
        <v>0.73</v>
      </c>
      <c r="AR24" s="19" t="n">
        <v>0.75</v>
      </c>
      <c r="AS24" s="19" t="n">
        <v>0.37</v>
      </c>
      <c r="AT24" s="19" t="n">
        <v>0.12</v>
      </c>
      <c r="AU24" s="19" t="n">
        <v>0.15</v>
      </c>
      <c r="AV24" s="19" t="n">
        <v>0.15</v>
      </c>
      <c r="AW24" s="19" t="n">
        <v>0.05</v>
      </c>
      <c r="AX24" s="19" t="n">
        <v>0.08</v>
      </c>
      <c r="AY24" s="19" t="n">
        <v>0.17</v>
      </c>
      <c r="AZ24" s="19" t="n">
        <v>0.08</v>
      </c>
      <c r="BA24" s="19" t="n">
        <v>0</v>
      </c>
      <c r="BB24" s="19" t="n">
        <v>0</v>
      </c>
      <c r="BC24" s="19" t="n">
        <v>0</v>
      </c>
      <c r="BD24" s="20" t="n">
        <f aca="false">SUM(D24:BC24)</f>
        <v>37.41</v>
      </c>
    </row>
    <row r="25" customFormat="false" ht="15" hidden="false" customHeight="false" outlineLevel="0" collapsed="false">
      <c r="A25" s="5" t="s">
        <v>200</v>
      </c>
      <c r="B25" s="5" t="s">
        <v>57</v>
      </c>
      <c r="C25" s="5" t="s">
        <v>179</v>
      </c>
      <c r="D25" s="19" t="n">
        <v>0.14</v>
      </c>
      <c r="E25" s="19" t="n">
        <v>0.27</v>
      </c>
      <c r="F25" s="19" t="n">
        <v>0.14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0.24</v>
      </c>
      <c r="P25" s="19" t="n">
        <v>0.71</v>
      </c>
      <c r="Q25" s="19" t="n">
        <v>0.73</v>
      </c>
      <c r="R25" s="19" t="n">
        <v>0.44</v>
      </c>
      <c r="S25" s="19" t="n">
        <v>0.36</v>
      </c>
      <c r="T25" s="19" t="n">
        <v>0.46</v>
      </c>
      <c r="U25" s="19" t="n">
        <v>1.08</v>
      </c>
      <c r="V25" s="19" t="n">
        <v>1.79</v>
      </c>
      <c r="W25" s="19" t="n">
        <v>1.56</v>
      </c>
      <c r="X25" s="19" t="n">
        <v>2.54</v>
      </c>
      <c r="Y25" s="19" t="n">
        <v>4.36</v>
      </c>
      <c r="Z25" s="19" t="n">
        <v>3.47</v>
      </c>
      <c r="AA25" s="19" t="n">
        <v>1.8</v>
      </c>
      <c r="AB25" s="19" t="n">
        <v>1.56</v>
      </c>
      <c r="AC25" s="19" t="n">
        <v>1.51</v>
      </c>
      <c r="AD25" s="19" t="n">
        <v>0.78</v>
      </c>
      <c r="AE25" s="19" t="n">
        <v>1.03</v>
      </c>
      <c r="AF25" s="19" t="n">
        <v>2.39</v>
      </c>
      <c r="AG25" s="19" t="n">
        <v>2.31</v>
      </c>
      <c r="AH25" s="19" t="n">
        <v>1.86</v>
      </c>
      <c r="AI25" s="19" t="n">
        <v>1.81</v>
      </c>
      <c r="AJ25" s="19" t="n">
        <v>0.85</v>
      </c>
      <c r="AK25" s="19" t="n">
        <v>0.15</v>
      </c>
      <c r="AL25" s="19" t="n">
        <v>0.2</v>
      </c>
      <c r="AM25" s="19" t="n">
        <v>0.1</v>
      </c>
      <c r="AN25" s="19" t="n">
        <v>0.05</v>
      </c>
      <c r="AO25" s="19" t="n">
        <v>0.1</v>
      </c>
      <c r="AP25" s="19" t="n">
        <v>0.05</v>
      </c>
      <c r="AQ25" s="19" t="n">
        <v>0</v>
      </c>
      <c r="AR25" s="19" t="n">
        <v>0</v>
      </c>
      <c r="AS25" s="19" t="n">
        <v>0</v>
      </c>
      <c r="AT25" s="19" t="n">
        <v>0</v>
      </c>
      <c r="AU25" s="19" t="n">
        <v>0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20" t="n">
        <f aca="false">SUM(D25:BC25)</f>
        <v>34.84</v>
      </c>
    </row>
    <row r="26" customFormat="false" ht="15" hidden="false" customHeight="false" outlineLevel="0" collapsed="false">
      <c r="A26" s="5" t="s">
        <v>201</v>
      </c>
      <c r="B26" s="5" t="s">
        <v>69</v>
      </c>
      <c r="C26" s="5" t="s">
        <v>179</v>
      </c>
      <c r="D26" s="19" t="n">
        <v>0.08</v>
      </c>
      <c r="E26" s="19" t="n">
        <v>0.16</v>
      </c>
      <c r="F26" s="19" t="n">
        <v>0.08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0.06</v>
      </c>
      <c r="P26" s="19" t="n">
        <v>0.11</v>
      </c>
      <c r="Q26" s="19" t="n">
        <v>0.06</v>
      </c>
      <c r="R26" s="19" t="n">
        <v>0.03</v>
      </c>
      <c r="S26" s="19" t="n">
        <v>0.23</v>
      </c>
      <c r="T26" s="19" t="n">
        <v>0.35</v>
      </c>
      <c r="U26" s="19" t="n">
        <v>0.2</v>
      </c>
      <c r="V26" s="19" t="n">
        <v>0.25</v>
      </c>
      <c r="W26" s="19" t="n">
        <v>0.47</v>
      </c>
      <c r="X26" s="19" t="n">
        <v>0.47</v>
      </c>
      <c r="Y26" s="19" t="n">
        <v>0.29</v>
      </c>
      <c r="Z26" s="19" t="n">
        <v>0.12</v>
      </c>
      <c r="AA26" s="19" t="n">
        <v>0.32</v>
      </c>
      <c r="AB26" s="19" t="n">
        <v>0.64</v>
      </c>
      <c r="AC26" s="19" t="n">
        <v>0.47</v>
      </c>
      <c r="AD26" s="19" t="n">
        <v>0.19</v>
      </c>
      <c r="AE26" s="19" t="n">
        <v>0.16</v>
      </c>
      <c r="AF26" s="19" t="n">
        <v>0.08</v>
      </c>
      <c r="AG26" s="19" t="n">
        <v>0</v>
      </c>
      <c r="AH26" s="19" t="n">
        <v>0.12</v>
      </c>
      <c r="AI26" s="19" t="n">
        <v>0.32</v>
      </c>
      <c r="AJ26" s="19" t="n">
        <v>0.33</v>
      </c>
      <c r="AK26" s="19" t="n">
        <v>0.27</v>
      </c>
      <c r="AL26" s="19" t="n">
        <v>0.27</v>
      </c>
      <c r="AM26" s="19" t="n">
        <v>0.18</v>
      </c>
      <c r="AN26" s="19" t="n">
        <v>0.05</v>
      </c>
      <c r="AO26" s="19" t="n">
        <v>0.05</v>
      </c>
      <c r="AP26" s="19" t="n">
        <v>0.1</v>
      </c>
      <c r="AQ26" s="19" t="n">
        <v>0.05</v>
      </c>
      <c r="AR26" s="19" t="n">
        <v>0</v>
      </c>
      <c r="AS26" s="19" t="n">
        <v>0</v>
      </c>
      <c r="AT26" s="19" t="n">
        <v>0</v>
      </c>
      <c r="AU26" s="19" t="n">
        <v>0</v>
      </c>
      <c r="AV26" s="19" t="n">
        <v>0</v>
      </c>
      <c r="AW26" s="19" t="n">
        <v>0</v>
      </c>
      <c r="AX26" s="19" t="n">
        <v>0</v>
      </c>
      <c r="AY26" s="19" t="n">
        <v>0</v>
      </c>
      <c r="AZ26" s="19" t="n">
        <v>0</v>
      </c>
      <c r="BA26" s="19" t="n">
        <v>0</v>
      </c>
      <c r="BB26" s="19" t="n">
        <v>0</v>
      </c>
      <c r="BC26" s="19" t="n">
        <v>0</v>
      </c>
      <c r="BD26" s="20" t="n">
        <f aca="false">SUM(D26:BC26)</f>
        <v>6.56</v>
      </c>
    </row>
    <row r="27" customFormat="false" ht="15" hidden="false" customHeight="false" outlineLevel="0" collapsed="false">
      <c r="A27" s="5" t="s">
        <v>202</v>
      </c>
      <c r="B27" s="5" t="s">
        <v>69</v>
      </c>
      <c r="C27" s="5" t="s">
        <v>179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0.08</v>
      </c>
      <c r="L27" s="19" t="n">
        <v>0.16</v>
      </c>
      <c r="M27" s="19" t="n">
        <v>0.08</v>
      </c>
      <c r="N27" s="19" t="n">
        <v>0</v>
      </c>
      <c r="O27" s="19" t="n">
        <v>0</v>
      </c>
      <c r="P27" s="19" t="n">
        <v>0</v>
      </c>
      <c r="Q27" s="19" t="n">
        <v>0.06</v>
      </c>
      <c r="R27" s="19" t="n">
        <v>0.11</v>
      </c>
      <c r="S27" s="19" t="n">
        <v>0.06</v>
      </c>
      <c r="T27" s="19" t="n">
        <v>0.08</v>
      </c>
      <c r="U27" s="19" t="n">
        <v>0.45</v>
      </c>
      <c r="V27" s="19" t="n">
        <v>0.82</v>
      </c>
      <c r="W27" s="19" t="n">
        <v>0.69</v>
      </c>
      <c r="X27" s="19" t="n">
        <v>0.4</v>
      </c>
      <c r="Y27" s="19" t="n">
        <v>0.4</v>
      </c>
      <c r="Z27" s="19" t="n">
        <v>0.47</v>
      </c>
      <c r="AA27" s="19" t="n">
        <v>0.47</v>
      </c>
      <c r="AB27" s="19" t="n">
        <v>0.63</v>
      </c>
      <c r="AC27" s="19" t="n">
        <v>1.03</v>
      </c>
      <c r="AD27" s="19" t="n">
        <v>1.08</v>
      </c>
      <c r="AE27" s="19" t="n">
        <v>0.51</v>
      </c>
      <c r="AF27" s="19" t="n">
        <v>0.41</v>
      </c>
      <c r="AG27" s="19" t="n">
        <v>0.93</v>
      </c>
      <c r="AH27" s="19" t="n">
        <v>1.08</v>
      </c>
      <c r="AI27" s="19" t="n">
        <v>0.85</v>
      </c>
      <c r="AJ27" s="19" t="n">
        <v>0.43</v>
      </c>
      <c r="AK27" s="19" t="n">
        <v>0.17</v>
      </c>
      <c r="AL27" s="19" t="n">
        <v>0.4</v>
      </c>
      <c r="AM27" s="19" t="n">
        <v>0.55</v>
      </c>
      <c r="AN27" s="19" t="n">
        <v>0.23</v>
      </c>
      <c r="AO27" s="19" t="n">
        <v>0.12</v>
      </c>
      <c r="AP27" s="19" t="n">
        <v>0.23</v>
      </c>
      <c r="AQ27" s="19" t="n">
        <v>0.12</v>
      </c>
      <c r="AR27" s="19" t="n">
        <v>0</v>
      </c>
      <c r="AS27" s="19" t="n">
        <v>0</v>
      </c>
      <c r="AT27" s="19" t="n">
        <v>0.17</v>
      </c>
      <c r="AU27" s="19" t="n">
        <v>0.56</v>
      </c>
      <c r="AV27" s="19" t="n">
        <v>0.63</v>
      </c>
      <c r="AW27" s="19" t="n">
        <v>0.23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20" t="n">
        <f aca="false">SUM(D27:BC27)</f>
        <v>14.69</v>
      </c>
    </row>
    <row r="28" customFormat="false" ht="15" hidden="false" customHeight="false" outlineLevel="0" collapsed="false">
      <c r="A28" s="5" t="s">
        <v>203</v>
      </c>
      <c r="B28" s="5" t="s">
        <v>69</v>
      </c>
      <c r="C28" s="5" t="s">
        <v>179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0.06</v>
      </c>
      <c r="O28" s="19" t="n">
        <v>0.11</v>
      </c>
      <c r="P28" s="19" t="n">
        <v>0.11</v>
      </c>
      <c r="Q28" s="19" t="n">
        <v>0.25</v>
      </c>
      <c r="R28" s="19" t="n">
        <v>0.64</v>
      </c>
      <c r="S28" s="19" t="n">
        <v>0.77</v>
      </c>
      <c r="T28" s="19" t="n">
        <v>0.4</v>
      </c>
      <c r="U28" s="19" t="n">
        <v>0.45</v>
      </c>
      <c r="V28" s="19" t="n">
        <v>0.76</v>
      </c>
      <c r="W28" s="19" t="n">
        <v>0.66</v>
      </c>
      <c r="X28" s="19" t="n">
        <v>0.63</v>
      </c>
      <c r="Y28" s="19" t="n">
        <v>0.54</v>
      </c>
      <c r="Z28" s="19" t="n">
        <v>0.35</v>
      </c>
      <c r="AA28" s="19" t="n">
        <v>0.59</v>
      </c>
      <c r="AB28" s="19" t="n">
        <v>0.98</v>
      </c>
      <c r="AC28" s="19" t="n">
        <v>1.21</v>
      </c>
      <c r="AD28" s="19" t="n">
        <v>1.13</v>
      </c>
      <c r="AE28" s="19" t="n">
        <v>0.64</v>
      </c>
      <c r="AF28" s="19" t="n">
        <v>0.27</v>
      </c>
      <c r="AG28" s="19" t="n">
        <v>0.55</v>
      </c>
      <c r="AH28" s="19" t="n">
        <v>0.75</v>
      </c>
      <c r="AI28" s="19" t="n">
        <v>0.4</v>
      </c>
      <c r="AJ28" s="19" t="n">
        <v>0.17</v>
      </c>
      <c r="AK28" s="19" t="n">
        <v>0.17</v>
      </c>
      <c r="AL28" s="19" t="n">
        <v>0.17</v>
      </c>
      <c r="AM28" s="19" t="n">
        <v>0.08</v>
      </c>
      <c r="AN28" s="19" t="n">
        <v>0</v>
      </c>
      <c r="AO28" s="19" t="n">
        <v>0.08</v>
      </c>
      <c r="AP28" s="19" t="n">
        <v>0.17</v>
      </c>
      <c r="AQ28" s="19" t="n">
        <v>0.08</v>
      </c>
      <c r="AR28" s="19" t="n">
        <v>0.08</v>
      </c>
      <c r="AS28" s="19" t="n">
        <v>0.25</v>
      </c>
      <c r="AT28" s="19" t="n">
        <v>0.25</v>
      </c>
      <c r="AU28" s="19" t="n">
        <v>0.08</v>
      </c>
      <c r="AV28" s="19" t="n">
        <v>0</v>
      </c>
      <c r="AW28" s="19" t="n">
        <v>0</v>
      </c>
      <c r="AX28" s="19" t="n">
        <v>0</v>
      </c>
      <c r="AY28" s="19" t="n">
        <v>0.12</v>
      </c>
      <c r="AZ28" s="19" t="n">
        <v>0.23</v>
      </c>
      <c r="BA28" s="19" t="n">
        <v>0.12</v>
      </c>
      <c r="BB28" s="19" t="n">
        <v>0</v>
      </c>
      <c r="BC28" s="19" t="n">
        <v>0</v>
      </c>
      <c r="BD28" s="20" t="n">
        <f aca="false">SUM(D28:BC28)</f>
        <v>14.3</v>
      </c>
    </row>
    <row r="29" customFormat="false" ht="15" hidden="false" customHeight="false" outlineLevel="0" collapsed="false">
      <c r="A29" s="5" t="s">
        <v>204</v>
      </c>
      <c r="B29" s="5" t="s">
        <v>51</v>
      </c>
      <c r="C29" s="5" t="s">
        <v>179</v>
      </c>
      <c r="D29" s="19" t="n">
        <v>0.06</v>
      </c>
      <c r="E29" s="19" t="n">
        <v>0.11</v>
      </c>
      <c r="F29" s="19" t="n">
        <v>0.06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19" t="n">
        <v>0.03</v>
      </c>
      <c r="U29" s="19" t="n">
        <v>0.07</v>
      </c>
      <c r="V29" s="19" t="n">
        <v>0.03</v>
      </c>
      <c r="W29" s="19" t="n">
        <v>0</v>
      </c>
      <c r="X29" s="19" t="n">
        <v>0</v>
      </c>
      <c r="Y29" s="19" t="n">
        <v>0</v>
      </c>
      <c r="Z29" s="19" t="n">
        <v>0</v>
      </c>
      <c r="AA29" s="19" t="n">
        <v>0</v>
      </c>
      <c r="AB29" s="19" t="n">
        <v>0</v>
      </c>
      <c r="AC29" s="19" t="n">
        <v>0.05</v>
      </c>
      <c r="AD29" s="19" t="n">
        <v>0.11</v>
      </c>
      <c r="AE29" s="19" t="n">
        <v>0.16</v>
      </c>
      <c r="AF29" s="19" t="n">
        <v>0.29</v>
      </c>
      <c r="AG29" s="19" t="n">
        <v>0.43</v>
      </c>
      <c r="AH29" s="19" t="n">
        <v>0.63</v>
      </c>
      <c r="AI29" s="19" t="n">
        <v>0.7</v>
      </c>
      <c r="AJ29" s="19" t="n">
        <v>0.35</v>
      </c>
      <c r="AK29" s="19" t="n">
        <v>0.42</v>
      </c>
      <c r="AL29" s="19" t="n">
        <v>1.13</v>
      </c>
      <c r="AM29" s="19" t="n">
        <v>1.31</v>
      </c>
      <c r="AN29" s="19" t="n">
        <v>0.78</v>
      </c>
      <c r="AO29" s="19" t="n">
        <v>0.4</v>
      </c>
      <c r="AP29" s="19" t="n">
        <v>0.2</v>
      </c>
      <c r="AQ29" s="19" t="n">
        <v>0.08</v>
      </c>
      <c r="AR29" s="19" t="n">
        <v>0.13</v>
      </c>
      <c r="AS29" s="19" t="n">
        <v>0.18</v>
      </c>
      <c r="AT29" s="19" t="n">
        <v>0.22</v>
      </c>
      <c r="AU29" s="19" t="n">
        <v>0.17</v>
      </c>
      <c r="AV29" s="19" t="n">
        <v>0.05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20" t="n">
        <f aca="false">SUM(D29:BC29)</f>
        <v>8.15</v>
      </c>
    </row>
    <row r="30" customFormat="false" ht="15" hidden="false" customHeight="false" outlineLevel="0" collapsed="false">
      <c r="A30" s="5" t="s">
        <v>205</v>
      </c>
      <c r="B30" s="5" t="s">
        <v>62</v>
      </c>
      <c r="C30" s="5" t="s">
        <v>179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0.06</v>
      </c>
      <c r="M30" s="19" t="n">
        <v>0.11</v>
      </c>
      <c r="N30" s="19" t="n">
        <v>0.15</v>
      </c>
      <c r="O30" s="19" t="n">
        <v>0.18</v>
      </c>
      <c r="P30" s="19" t="n">
        <v>0.09</v>
      </c>
      <c r="Q30" s="19" t="n">
        <v>0.1</v>
      </c>
      <c r="R30" s="19" t="n">
        <v>0.28</v>
      </c>
      <c r="S30" s="19" t="n">
        <v>0.21</v>
      </c>
      <c r="T30" s="19" t="n">
        <v>0.18</v>
      </c>
      <c r="U30" s="19" t="n">
        <v>0.5</v>
      </c>
      <c r="V30" s="19" t="n">
        <v>0.51</v>
      </c>
      <c r="W30" s="19" t="n">
        <v>0.16</v>
      </c>
      <c r="X30" s="19" t="n">
        <v>0.07</v>
      </c>
      <c r="Y30" s="19" t="n">
        <v>0.17</v>
      </c>
      <c r="Z30" s="19" t="n">
        <v>0.32</v>
      </c>
      <c r="AA30" s="19" t="n">
        <v>0.55</v>
      </c>
      <c r="AB30" s="19" t="n">
        <v>0.52</v>
      </c>
      <c r="AC30" s="19" t="n">
        <v>0.55</v>
      </c>
      <c r="AD30" s="19" t="n">
        <v>1.18</v>
      </c>
      <c r="AE30" s="19" t="n">
        <v>1.34</v>
      </c>
      <c r="AF30" s="19" t="n">
        <v>0.9</v>
      </c>
      <c r="AG30" s="19" t="n">
        <v>0.73</v>
      </c>
      <c r="AH30" s="19" t="n">
        <v>0.55</v>
      </c>
      <c r="AI30" s="19" t="n">
        <v>0.28</v>
      </c>
      <c r="AJ30" s="19" t="n">
        <v>0.1</v>
      </c>
      <c r="AK30" s="19" t="n">
        <v>0.13</v>
      </c>
      <c r="AL30" s="19" t="n">
        <v>0.78</v>
      </c>
      <c r="AM30" s="19" t="n">
        <v>1.35</v>
      </c>
      <c r="AN30" s="19" t="n">
        <v>0.93</v>
      </c>
      <c r="AO30" s="19" t="n">
        <v>0.33</v>
      </c>
      <c r="AP30" s="19" t="n">
        <v>0.15</v>
      </c>
      <c r="AQ30" s="19" t="n">
        <v>0.05</v>
      </c>
      <c r="AR30" s="19" t="n">
        <v>0</v>
      </c>
      <c r="AS30" s="19" t="n">
        <v>0</v>
      </c>
      <c r="AT30" s="19" t="n">
        <v>0.08</v>
      </c>
      <c r="AU30" s="19" t="n">
        <v>0.17</v>
      </c>
      <c r="AV30" s="19" t="n">
        <v>0.08</v>
      </c>
      <c r="AW30" s="19" t="n">
        <v>0</v>
      </c>
      <c r="AX30" s="19" t="n">
        <v>0</v>
      </c>
      <c r="AY30" s="19" t="n">
        <v>0</v>
      </c>
      <c r="AZ30" s="19" t="n">
        <v>0</v>
      </c>
      <c r="BA30" s="19" t="n">
        <v>0</v>
      </c>
      <c r="BB30" s="19" t="n">
        <v>0</v>
      </c>
      <c r="BC30" s="19" t="n">
        <v>0</v>
      </c>
      <c r="BD30" s="20" t="n">
        <f aca="false">SUM(D30:BC30)</f>
        <v>13.84</v>
      </c>
    </row>
    <row r="31" customFormat="false" ht="15" hidden="false" customHeight="false" outlineLevel="0" collapsed="false">
      <c r="A31" s="5" t="s">
        <v>206</v>
      </c>
      <c r="B31" s="5" t="s">
        <v>69</v>
      </c>
      <c r="C31" s="5" t="s">
        <v>179</v>
      </c>
      <c r="D31" s="19" t="n">
        <v>0.08</v>
      </c>
      <c r="E31" s="19" t="n">
        <v>0.16</v>
      </c>
      <c r="F31" s="19" t="n">
        <v>0.08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0.11</v>
      </c>
      <c r="P31" s="19" t="n">
        <v>0.23</v>
      </c>
      <c r="Q31" s="19" t="n">
        <v>0.29</v>
      </c>
      <c r="R31" s="19" t="n">
        <v>0.61</v>
      </c>
      <c r="S31" s="19" t="n">
        <v>1.07</v>
      </c>
      <c r="T31" s="19" t="n">
        <v>1.07</v>
      </c>
      <c r="U31" s="19" t="n">
        <v>0.66</v>
      </c>
      <c r="V31" s="19" t="n">
        <v>0.59</v>
      </c>
      <c r="W31" s="19" t="n">
        <v>0.77</v>
      </c>
      <c r="X31" s="19" t="n">
        <v>0.72</v>
      </c>
      <c r="Y31" s="19" t="n">
        <v>0.53</v>
      </c>
      <c r="Z31" s="19" t="n">
        <v>0.54</v>
      </c>
      <c r="AA31" s="19" t="n">
        <v>0.88</v>
      </c>
      <c r="AB31" s="19" t="n">
        <v>1.4</v>
      </c>
      <c r="AC31" s="19" t="n">
        <v>1.88</v>
      </c>
      <c r="AD31" s="19" t="n">
        <v>2.19</v>
      </c>
      <c r="AE31" s="19" t="n">
        <v>2.28</v>
      </c>
      <c r="AF31" s="19" t="n">
        <v>1.93</v>
      </c>
      <c r="AG31" s="19" t="n">
        <v>1.41</v>
      </c>
      <c r="AH31" s="19" t="n">
        <v>1.71</v>
      </c>
      <c r="AI31" s="19" t="n">
        <v>2.14</v>
      </c>
      <c r="AJ31" s="19" t="n">
        <v>1.23</v>
      </c>
      <c r="AK31" s="19" t="n">
        <v>0.32</v>
      </c>
      <c r="AL31" s="19" t="n">
        <v>0.32</v>
      </c>
      <c r="AM31" s="19" t="n">
        <v>0.33</v>
      </c>
      <c r="AN31" s="19" t="n">
        <v>0.27</v>
      </c>
      <c r="AO31" s="19" t="n">
        <v>0.33</v>
      </c>
      <c r="AP31" s="19" t="n">
        <v>0.32</v>
      </c>
      <c r="AQ31" s="19" t="n">
        <v>0.12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20" t="n">
        <f aca="false">SUM(D31:BC31)</f>
        <v>26.57</v>
      </c>
    </row>
    <row r="32" customFormat="false" ht="15" hidden="false" customHeight="false" outlineLevel="0" collapsed="false">
      <c r="A32" s="5" t="s">
        <v>207</v>
      </c>
      <c r="B32" s="5" t="s">
        <v>62</v>
      </c>
      <c r="C32" s="5" t="s">
        <v>179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0.08</v>
      </c>
      <c r="P32" s="19" t="n">
        <v>0.24</v>
      </c>
      <c r="Q32" s="19" t="n">
        <v>0.4</v>
      </c>
      <c r="R32" s="19" t="n">
        <v>0.55</v>
      </c>
      <c r="S32" s="19" t="n">
        <v>0.4</v>
      </c>
      <c r="T32" s="19" t="n">
        <v>0.05</v>
      </c>
      <c r="U32" s="19" t="n">
        <v>0.01</v>
      </c>
      <c r="V32" s="19" t="n">
        <v>0.07</v>
      </c>
      <c r="W32" s="19" t="n">
        <v>0.16</v>
      </c>
      <c r="X32" s="19" t="n">
        <v>0.61</v>
      </c>
      <c r="Y32" s="19" t="n">
        <v>1.19</v>
      </c>
      <c r="Z32" s="19" t="n">
        <v>1.3</v>
      </c>
      <c r="AA32" s="19" t="n">
        <v>1.14</v>
      </c>
      <c r="AB32" s="19" t="n">
        <v>1.4</v>
      </c>
      <c r="AC32" s="19" t="n">
        <v>1.48</v>
      </c>
      <c r="AD32" s="19" t="n">
        <v>1.16</v>
      </c>
      <c r="AE32" s="19" t="n">
        <v>1.08</v>
      </c>
      <c r="AF32" s="19" t="n">
        <v>0.81</v>
      </c>
      <c r="AG32" s="19" t="n">
        <v>0.42</v>
      </c>
      <c r="AH32" s="19" t="n">
        <v>0.15</v>
      </c>
      <c r="AI32" s="19" t="n">
        <v>0.12</v>
      </c>
      <c r="AJ32" s="19" t="n">
        <v>0.23</v>
      </c>
      <c r="AK32" s="19" t="n">
        <v>0.12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20" t="n">
        <f aca="false">SUM(D32:BC32)</f>
        <v>13.17</v>
      </c>
    </row>
    <row r="33" customFormat="false" ht="15" hidden="false" customHeight="false" outlineLevel="0" collapsed="false">
      <c r="A33" s="5" t="s">
        <v>208</v>
      </c>
      <c r="B33" s="5" t="s">
        <v>62</v>
      </c>
      <c r="C33" s="5" t="s">
        <v>179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0.06</v>
      </c>
      <c r="Q33" s="19" t="n">
        <v>0.11</v>
      </c>
      <c r="R33" s="19" t="n">
        <v>0.06</v>
      </c>
      <c r="S33" s="19" t="n">
        <v>0</v>
      </c>
      <c r="T33" s="19" t="n">
        <v>0.15</v>
      </c>
      <c r="U33" s="19" t="n">
        <v>0.47</v>
      </c>
      <c r="V33" s="19" t="n">
        <v>0.51</v>
      </c>
      <c r="W33" s="19" t="n">
        <v>0.25</v>
      </c>
      <c r="X33" s="19" t="n">
        <v>0.21</v>
      </c>
      <c r="Y33" s="19" t="n">
        <v>0.41</v>
      </c>
      <c r="Z33" s="19" t="n">
        <v>0.94</v>
      </c>
      <c r="AA33" s="19" t="n">
        <v>1.27</v>
      </c>
      <c r="AB33" s="19" t="n">
        <v>0.99</v>
      </c>
      <c r="AC33" s="19" t="n">
        <v>0.92</v>
      </c>
      <c r="AD33" s="19" t="n">
        <v>0.72</v>
      </c>
      <c r="AE33" s="19" t="n">
        <v>0.59</v>
      </c>
      <c r="AF33" s="19" t="n">
        <v>1.07</v>
      </c>
      <c r="AG33" s="19" t="n">
        <v>1.08</v>
      </c>
      <c r="AH33" s="19" t="n">
        <v>0.42</v>
      </c>
      <c r="AI33" s="19" t="n">
        <v>0.03</v>
      </c>
      <c r="AJ33" s="19" t="n">
        <v>0</v>
      </c>
      <c r="AK33" s="19" t="n">
        <v>0.37</v>
      </c>
      <c r="AL33" s="19" t="n">
        <v>0.9</v>
      </c>
      <c r="AM33" s="19" t="n">
        <v>0.7</v>
      </c>
      <c r="AN33" s="19" t="n">
        <v>0.22</v>
      </c>
      <c r="AO33" s="19" t="n">
        <v>0.18</v>
      </c>
      <c r="AP33" s="19" t="n">
        <v>0.22</v>
      </c>
      <c r="AQ33" s="19" t="n">
        <v>0.08</v>
      </c>
      <c r="AR33" s="19" t="n">
        <v>0</v>
      </c>
      <c r="AS33" s="19" t="n">
        <v>0</v>
      </c>
      <c r="AT33" s="19" t="n">
        <v>0</v>
      </c>
      <c r="AU33" s="19" t="n">
        <v>0.08</v>
      </c>
      <c r="AV33" s="19" t="n">
        <v>0.17</v>
      </c>
      <c r="AW33" s="19" t="n">
        <v>0.12</v>
      </c>
      <c r="AX33" s="19" t="n">
        <v>0.07</v>
      </c>
      <c r="AY33" s="19" t="n">
        <v>0.03</v>
      </c>
      <c r="AZ33" s="19" t="n">
        <v>0</v>
      </c>
      <c r="BA33" s="19" t="n">
        <v>0</v>
      </c>
      <c r="BB33" s="19" t="n">
        <v>0</v>
      </c>
      <c r="BC33" s="19" t="n">
        <v>0</v>
      </c>
      <c r="BD33" s="20" t="n">
        <f aca="false">SUM(D33:BC33)</f>
        <v>13.4</v>
      </c>
    </row>
    <row r="34" customFormat="false" ht="15" hidden="false" customHeight="false" outlineLevel="0" collapsed="false">
      <c r="A34" s="5" t="s">
        <v>209</v>
      </c>
      <c r="B34" s="5" t="s">
        <v>57</v>
      </c>
      <c r="C34" s="5" t="s">
        <v>179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0</v>
      </c>
      <c r="Q34" s="19" t="n">
        <v>0</v>
      </c>
      <c r="R34" s="19" t="n">
        <v>0.02</v>
      </c>
      <c r="S34" s="19" t="n">
        <v>0.05</v>
      </c>
      <c r="T34" s="19" t="n">
        <v>0.09</v>
      </c>
      <c r="U34" s="19" t="n">
        <v>0.16</v>
      </c>
      <c r="V34" s="19" t="n">
        <v>0.63</v>
      </c>
      <c r="W34" s="19" t="n">
        <v>1.36</v>
      </c>
      <c r="X34" s="19" t="n">
        <v>1.69</v>
      </c>
      <c r="Y34" s="19" t="n">
        <v>1.79</v>
      </c>
      <c r="Z34" s="19" t="n">
        <v>1.38</v>
      </c>
      <c r="AA34" s="19" t="n">
        <v>0.63</v>
      </c>
      <c r="AB34" s="19" t="n">
        <v>0.78</v>
      </c>
      <c r="AC34" s="19" t="n">
        <v>1.27</v>
      </c>
      <c r="AD34" s="19" t="n">
        <v>0.67</v>
      </c>
      <c r="AE34" s="19" t="n">
        <v>0.49</v>
      </c>
      <c r="AF34" s="19" t="n">
        <v>1.05</v>
      </c>
      <c r="AG34" s="19" t="n">
        <v>0.83</v>
      </c>
      <c r="AH34" s="19" t="n">
        <v>0.45</v>
      </c>
      <c r="AI34" s="19" t="n">
        <v>0.27</v>
      </c>
      <c r="AJ34" s="19" t="n">
        <v>0.07</v>
      </c>
      <c r="AK34" s="19" t="n">
        <v>0</v>
      </c>
      <c r="AL34" s="19" t="n">
        <v>0</v>
      </c>
      <c r="AM34" s="19" t="n">
        <v>0</v>
      </c>
      <c r="AN34" s="19" t="n">
        <v>0</v>
      </c>
      <c r="AO34" s="19" t="n">
        <v>0</v>
      </c>
      <c r="AP34" s="19" t="n">
        <v>0.15</v>
      </c>
      <c r="AQ34" s="19" t="n">
        <v>0.38</v>
      </c>
      <c r="AR34" s="19" t="n">
        <v>0.32</v>
      </c>
      <c r="AS34" s="19" t="n">
        <v>0.08</v>
      </c>
      <c r="AT34" s="19" t="n">
        <v>0</v>
      </c>
      <c r="AU34" s="19" t="n">
        <v>0</v>
      </c>
      <c r="AV34" s="19" t="n">
        <v>0</v>
      </c>
      <c r="AW34" s="19" t="n">
        <v>0</v>
      </c>
      <c r="AX34" s="19" t="n">
        <v>0</v>
      </c>
      <c r="AY34" s="19" t="n">
        <v>0</v>
      </c>
      <c r="AZ34" s="19" t="n">
        <v>0</v>
      </c>
      <c r="BA34" s="19" t="n">
        <v>0</v>
      </c>
      <c r="BB34" s="19" t="n">
        <v>0</v>
      </c>
      <c r="BC34" s="19" t="n">
        <v>0</v>
      </c>
      <c r="BD34" s="20" t="n">
        <f aca="false">SUM(D34:BC34)</f>
        <v>14.61</v>
      </c>
    </row>
    <row r="35" customFormat="false" ht="15" hidden="false" customHeight="false" outlineLevel="0" collapsed="false">
      <c r="A35" s="5" t="s">
        <v>210</v>
      </c>
      <c r="B35" s="5" t="s">
        <v>45</v>
      </c>
      <c r="C35" s="5" t="s">
        <v>179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0.09</v>
      </c>
      <c r="M35" s="19" t="n">
        <v>0.18</v>
      </c>
      <c r="N35" s="19" t="n">
        <v>0.17</v>
      </c>
      <c r="O35" s="19" t="n">
        <v>0.16</v>
      </c>
      <c r="P35" s="19" t="n">
        <v>0.16</v>
      </c>
      <c r="Q35" s="19" t="n">
        <v>0.27</v>
      </c>
      <c r="R35" s="19" t="n">
        <v>0.33</v>
      </c>
      <c r="S35" s="19" t="n">
        <v>0.41</v>
      </c>
      <c r="T35" s="19" t="n">
        <v>0.94</v>
      </c>
      <c r="U35" s="19" t="n">
        <v>1.16</v>
      </c>
      <c r="V35" s="19" t="n">
        <v>0.7</v>
      </c>
      <c r="W35" s="19" t="n">
        <v>0.75</v>
      </c>
      <c r="X35" s="19" t="n">
        <v>1.68</v>
      </c>
      <c r="Y35" s="19" t="n">
        <v>2.52</v>
      </c>
      <c r="Z35" s="19" t="n">
        <v>2.03</v>
      </c>
      <c r="AA35" s="19" t="n">
        <v>1.65</v>
      </c>
      <c r="AB35" s="19" t="n">
        <v>2.07</v>
      </c>
      <c r="AC35" s="19" t="n">
        <v>1.43</v>
      </c>
      <c r="AD35" s="19" t="n">
        <v>0.82</v>
      </c>
      <c r="AE35" s="19" t="n">
        <v>1.13</v>
      </c>
      <c r="AF35" s="19" t="n">
        <v>1.23</v>
      </c>
      <c r="AG35" s="19" t="n">
        <v>0.93</v>
      </c>
      <c r="AH35" s="19" t="n">
        <v>0.83</v>
      </c>
      <c r="AI35" s="19" t="n">
        <v>0.73</v>
      </c>
      <c r="AJ35" s="19" t="n">
        <v>0.35</v>
      </c>
      <c r="AK35" s="19" t="n">
        <v>0.22</v>
      </c>
      <c r="AL35" s="19" t="n">
        <v>0.47</v>
      </c>
      <c r="AM35" s="19" t="n">
        <v>0.53</v>
      </c>
      <c r="AN35" s="19" t="n">
        <v>0.28</v>
      </c>
      <c r="AO35" s="19" t="n">
        <v>0.17</v>
      </c>
      <c r="AP35" s="19" t="n">
        <v>0.12</v>
      </c>
      <c r="AQ35" s="19" t="n">
        <v>0.07</v>
      </c>
      <c r="AR35" s="19" t="n">
        <v>0.23</v>
      </c>
      <c r="AS35" s="19" t="n">
        <v>0.4</v>
      </c>
      <c r="AT35" s="19" t="n">
        <v>0.2</v>
      </c>
      <c r="AU35" s="19" t="n">
        <v>0</v>
      </c>
      <c r="AV35" s="19" t="n">
        <v>0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20" t="n">
        <f aca="false">SUM(D35:BC35)</f>
        <v>25.41</v>
      </c>
    </row>
    <row r="36" customFormat="false" ht="15" hidden="false" customHeight="false" outlineLevel="0" collapsed="false">
      <c r="A36" s="5" t="s">
        <v>211</v>
      </c>
      <c r="B36" s="5" t="s">
        <v>62</v>
      </c>
      <c r="C36" s="5" t="s">
        <v>179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0.17</v>
      </c>
      <c r="S36" s="19" t="n">
        <v>0.47</v>
      </c>
      <c r="T36" s="19" t="n">
        <v>0.44</v>
      </c>
      <c r="U36" s="19" t="n">
        <v>0.14</v>
      </c>
      <c r="V36" s="19" t="n">
        <v>0</v>
      </c>
      <c r="W36" s="19" t="n">
        <v>0.08</v>
      </c>
      <c r="X36" s="19" t="n">
        <v>0.4</v>
      </c>
      <c r="Y36" s="19" t="n">
        <v>0.72</v>
      </c>
      <c r="Z36" s="19" t="n">
        <v>0.96</v>
      </c>
      <c r="AA36" s="19" t="n">
        <v>0.94</v>
      </c>
      <c r="AB36" s="19" t="n">
        <v>0.75</v>
      </c>
      <c r="AC36" s="19" t="n">
        <v>0.85</v>
      </c>
      <c r="AD36" s="19" t="n">
        <v>0.95</v>
      </c>
      <c r="AE36" s="19" t="n">
        <v>1.23</v>
      </c>
      <c r="AF36" s="19" t="n">
        <v>1.55</v>
      </c>
      <c r="AG36" s="19" t="n">
        <v>1.13</v>
      </c>
      <c r="AH36" s="19" t="n">
        <v>0.78</v>
      </c>
      <c r="AI36" s="19" t="n">
        <v>1.1</v>
      </c>
      <c r="AJ36" s="19" t="n">
        <v>0.9</v>
      </c>
      <c r="AK36" s="19" t="n">
        <v>0.28</v>
      </c>
      <c r="AL36" s="19" t="n">
        <v>0.1</v>
      </c>
      <c r="AM36" s="19" t="n">
        <v>0.05</v>
      </c>
      <c r="AN36" s="19" t="n">
        <v>0</v>
      </c>
      <c r="AO36" s="19" t="n">
        <v>0</v>
      </c>
      <c r="AP36" s="19" t="n">
        <v>0</v>
      </c>
      <c r="AQ36" s="19" t="n">
        <v>0</v>
      </c>
      <c r="AR36" s="19" t="n">
        <v>0</v>
      </c>
      <c r="AS36" s="19" t="n">
        <v>0</v>
      </c>
      <c r="AT36" s="19" t="n">
        <v>0</v>
      </c>
      <c r="AU36" s="19" t="n">
        <v>0</v>
      </c>
      <c r="AV36" s="19" t="n">
        <v>0</v>
      </c>
      <c r="AW36" s="19" t="n">
        <v>0</v>
      </c>
      <c r="AX36" s="19" t="n">
        <v>0</v>
      </c>
      <c r="AY36" s="19" t="n">
        <v>0</v>
      </c>
      <c r="AZ36" s="19" t="n">
        <v>0</v>
      </c>
      <c r="BA36" s="19" t="n">
        <v>0</v>
      </c>
      <c r="BB36" s="19" t="n">
        <v>0</v>
      </c>
      <c r="BC36" s="19" t="n">
        <v>0</v>
      </c>
      <c r="BD36" s="20" t="n">
        <f aca="false">SUM(D36:BC36)</f>
        <v>13.99</v>
      </c>
    </row>
    <row r="37" customFormat="false" ht="15" hidden="false" customHeight="false" outlineLevel="0" collapsed="false">
      <c r="A37" s="5" t="s">
        <v>212</v>
      </c>
      <c r="B37" s="5" t="s">
        <v>60</v>
      </c>
      <c r="C37" s="5" t="s">
        <v>179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  <c r="P37" s="19" t="n">
        <v>0.08</v>
      </c>
      <c r="Q37" s="19" t="n">
        <v>0.29</v>
      </c>
      <c r="R37" s="19" t="n">
        <v>0.43</v>
      </c>
      <c r="S37" s="19" t="n">
        <v>0.37</v>
      </c>
      <c r="T37" s="19" t="n">
        <v>0.47</v>
      </c>
      <c r="U37" s="19" t="n">
        <v>0.87</v>
      </c>
      <c r="V37" s="19" t="n">
        <v>1.01</v>
      </c>
      <c r="W37" s="19" t="n">
        <v>0.75</v>
      </c>
      <c r="X37" s="19" t="n">
        <v>0.61</v>
      </c>
      <c r="Y37" s="19" t="n">
        <v>0.55</v>
      </c>
      <c r="Z37" s="19" t="n">
        <v>0.75</v>
      </c>
      <c r="AA37" s="19" t="n">
        <v>1.39</v>
      </c>
      <c r="AB37" s="19" t="n">
        <v>1.74</v>
      </c>
      <c r="AC37" s="19" t="n">
        <v>1.66</v>
      </c>
      <c r="AD37" s="19" t="n">
        <v>1.39</v>
      </c>
      <c r="AE37" s="19" t="n">
        <v>1.29</v>
      </c>
      <c r="AF37" s="19" t="n">
        <v>1.39</v>
      </c>
      <c r="AG37" s="19" t="n">
        <v>1.2</v>
      </c>
      <c r="AH37" s="19" t="n">
        <v>1.28</v>
      </c>
      <c r="AI37" s="19" t="n">
        <v>1.38</v>
      </c>
      <c r="AJ37" s="19" t="n">
        <v>0.81</v>
      </c>
      <c r="AK37" s="19" t="n">
        <v>0.2</v>
      </c>
      <c r="AL37" s="19" t="n">
        <v>0.17</v>
      </c>
      <c r="AM37" s="19" t="n">
        <v>0.33</v>
      </c>
      <c r="AN37" s="19" t="n">
        <v>0.17</v>
      </c>
      <c r="AO37" s="19" t="n">
        <v>0</v>
      </c>
      <c r="AP37" s="19" t="n">
        <v>0.08</v>
      </c>
      <c r="AQ37" s="19" t="n">
        <v>0.25</v>
      </c>
      <c r="AR37" s="19" t="n">
        <v>0.25</v>
      </c>
      <c r="AS37" s="19" t="n">
        <v>0.17</v>
      </c>
      <c r="AT37" s="19" t="n">
        <v>0.17</v>
      </c>
      <c r="AU37" s="19" t="n">
        <v>0.08</v>
      </c>
      <c r="AV37" s="19" t="n">
        <v>0.08</v>
      </c>
      <c r="AW37" s="19" t="n">
        <v>0.17</v>
      </c>
      <c r="AX37" s="19" t="n">
        <v>0.08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20" t="n">
        <f aca="false">SUM(D37:BC37)</f>
        <v>21.91</v>
      </c>
    </row>
    <row r="38" customFormat="false" ht="15" hidden="false" customHeight="false" outlineLevel="0" collapsed="false">
      <c r="A38" s="5" t="s">
        <v>213</v>
      </c>
      <c r="B38" s="5" t="s">
        <v>51</v>
      </c>
      <c r="C38" s="5" t="s">
        <v>179</v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0</v>
      </c>
      <c r="I38" s="19" t="n">
        <v>0.06</v>
      </c>
      <c r="J38" s="19" t="n">
        <v>0.11</v>
      </c>
      <c r="K38" s="19" t="n">
        <v>0.06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  <c r="Q38" s="19" t="n">
        <v>0</v>
      </c>
      <c r="R38" s="19" t="n">
        <v>0.24</v>
      </c>
      <c r="S38" s="19" t="n">
        <v>0.51</v>
      </c>
      <c r="T38" s="19" t="n">
        <v>0.31</v>
      </c>
      <c r="U38" s="19" t="n">
        <v>0.17</v>
      </c>
      <c r="V38" s="19" t="n">
        <v>0.31</v>
      </c>
      <c r="W38" s="19" t="n">
        <v>0.41</v>
      </c>
      <c r="X38" s="19" t="n">
        <v>0.55</v>
      </c>
      <c r="Y38" s="19" t="n">
        <v>0.5</v>
      </c>
      <c r="Z38" s="19" t="n">
        <v>0.38</v>
      </c>
      <c r="AA38" s="19" t="n">
        <v>0.46</v>
      </c>
      <c r="AB38" s="19" t="n">
        <v>0.54</v>
      </c>
      <c r="AC38" s="19" t="n">
        <v>0.63</v>
      </c>
      <c r="AD38" s="19" t="n">
        <v>0.69</v>
      </c>
      <c r="AE38" s="19" t="n">
        <v>0.65</v>
      </c>
      <c r="AF38" s="19" t="n">
        <v>0.56</v>
      </c>
      <c r="AG38" s="19" t="n">
        <v>0.37</v>
      </c>
      <c r="AH38" s="19" t="n">
        <v>0.37</v>
      </c>
      <c r="AI38" s="19" t="n">
        <v>0.47</v>
      </c>
      <c r="AJ38" s="19" t="n">
        <v>0.22</v>
      </c>
      <c r="AK38" s="19" t="n">
        <v>0.15</v>
      </c>
      <c r="AL38" s="19" t="n">
        <v>0.52</v>
      </c>
      <c r="AM38" s="19" t="n">
        <v>0.63</v>
      </c>
      <c r="AN38" s="19" t="n">
        <v>0.47</v>
      </c>
      <c r="AO38" s="19" t="n">
        <v>0.4</v>
      </c>
      <c r="AP38" s="19" t="n">
        <v>0.37</v>
      </c>
      <c r="AQ38" s="19" t="n">
        <v>0.28</v>
      </c>
      <c r="AR38" s="19" t="n">
        <v>0.12</v>
      </c>
      <c r="AS38" s="19" t="n">
        <v>0</v>
      </c>
      <c r="AT38" s="19" t="n">
        <v>0</v>
      </c>
      <c r="AU38" s="19" t="n">
        <v>0</v>
      </c>
      <c r="AV38" s="19" t="n">
        <v>0</v>
      </c>
      <c r="AW38" s="19" t="n">
        <v>0</v>
      </c>
      <c r="AX38" s="19" t="n">
        <v>0</v>
      </c>
      <c r="AY38" s="19" t="n">
        <v>0</v>
      </c>
      <c r="AZ38" s="19" t="n">
        <v>0.1</v>
      </c>
      <c r="BA38" s="19" t="n">
        <v>0.2</v>
      </c>
      <c r="BB38" s="19" t="n">
        <v>0.1</v>
      </c>
      <c r="BC38" s="19" t="n">
        <v>0</v>
      </c>
      <c r="BD38" s="20" t="n">
        <f aca="false">SUM(D38:BC38)</f>
        <v>11.91</v>
      </c>
    </row>
    <row r="39" customFormat="false" ht="15" hidden="false" customHeight="false" outlineLevel="0" collapsed="false">
      <c r="A39" s="5" t="s">
        <v>214</v>
      </c>
      <c r="B39" s="5" t="s">
        <v>69</v>
      </c>
      <c r="C39" s="5" t="s">
        <v>179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0.08</v>
      </c>
      <c r="J39" s="19" t="n">
        <v>0.16</v>
      </c>
      <c r="K39" s="19" t="n">
        <v>0.08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0.06</v>
      </c>
      <c r="Q39" s="19" t="n">
        <v>0.19</v>
      </c>
      <c r="R39" s="19" t="n">
        <v>0.31</v>
      </c>
      <c r="S39" s="19" t="n">
        <v>0.41</v>
      </c>
      <c r="T39" s="19" t="n">
        <v>0.38</v>
      </c>
      <c r="U39" s="19" t="n">
        <v>0.27</v>
      </c>
      <c r="V39" s="19" t="n">
        <v>0.33</v>
      </c>
      <c r="W39" s="19" t="n">
        <v>0.28</v>
      </c>
      <c r="X39" s="19" t="n">
        <v>0.28</v>
      </c>
      <c r="Y39" s="19" t="n">
        <v>0.43</v>
      </c>
      <c r="Z39" s="19" t="n">
        <v>0.44</v>
      </c>
      <c r="AA39" s="19" t="n">
        <v>0.64</v>
      </c>
      <c r="AB39" s="19" t="n">
        <v>0.88</v>
      </c>
      <c r="AC39" s="19" t="n">
        <v>0.81</v>
      </c>
      <c r="AD39" s="19" t="n">
        <v>0.56</v>
      </c>
      <c r="AE39" s="19" t="n">
        <v>0.41</v>
      </c>
      <c r="AF39" s="19" t="n">
        <v>0.36</v>
      </c>
      <c r="AG39" s="19" t="n">
        <v>0.35</v>
      </c>
      <c r="AH39" s="19" t="n">
        <v>0.45</v>
      </c>
      <c r="AI39" s="19" t="n">
        <v>0.42</v>
      </c>
      <c r="AJ39" s="19" t="n">
        <v>0.28</v>
      </c>
      <c r="AK39" s="19" t="n">
        <v>0.2</v>
      </c>
      <c r="AL39" s="19" t="n">
        <v>0.17</v>
      </c>
      <c r="AM39" s="19" t="n">
        <v>0.08</v>
      </c>
      <c r="AN39" s="19" t="n">
        <v>0.12</v>
      </c>
      <c r="AO39" s="19" t="n">
        <v>0.23</v>
      </c>
      <c r="AP39" s="19" t="n">
        <v>0.12</v>
      </c>
      <c r="AQ39" s="19" t="n">
        <v>0</v>
      </c>
      <c r="AR39" s="19" t="n">
        <v>0</v>
      </c>
      <c r="AS39" s="19" t="n">
        <v>0</v>
      </c>
      <c r="AT39" s="19" t="n">
        <v>0.08</v>
      </c>
      <c r="AU39" s="19" t="n">
        <v>0.17</v>
      </c>
      <c r="AV39" s="19" t="n">
        <v>0.08</v>
      </c>
      <c r="AW39" s="19" t="n">
        <v>0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20" t="n">
        <f aca="false">SUM(D39:BC39)</f>
        <v>10.11</v>
      </c>
    </row>
    <row r="40" customFormat="false" ht="15" hidden="false" customHeight="false" outlineLevel="0" collapsed="false">
      <c r="A40" s="5" t="s">
        <v>215</v>
      </c>
      <c r="B40" s="5" t="s">
        <v>66</v>
      </c>
      <c r="C40" s="5" t="s">
        <v>179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0</v>
      </c>
      <c r="O40" s="19" t="n">
        <v>0</v>
      </c>
      <c r="P40" s="19" t="n">
        <v>0</v>
      </c>
      <c r="Q40" s="19" t="n">
        <v>0</v>
      </c>
      <c r="R40" s="19" t="n">
        <v>0</v>
      </c>
      <c r="S40" s="19" t="n">
        <v>0</v>
      </c>
      <c r="T40" s="19" t="n">
        <v>0.08</v>
      </c>
      <c r="U40" s="19" t="n">
        <v>0.08</v>
      </c>
      <c r="V40" s="19" t="n">
        <v>0</v>
      </c>
      <c r="W40" s="19" t="n">
        <v>0</v>
      </c>
      <c r="X40" s="19" t="n">
        <v>0.16</v>
      </c>
      <c r="Y40" s="19" t="n">
        <v>0.32</v>
      </c>
      <c r="Z40" s="19" t="n">
        <v>0.16</v>
      </c>
      <c r="AA40" s="19" t="n">
        <v>0</v>
      </c>
      <c r="AB40" s="19" t="n">
        <v>0</v>
      </c>
      <c r="AC40" s="19" t="n">
        <v>0</v>
      </c>
      <c r="AD40" s="19" t="n">
        <v>0</v>
      </c>
      <c r="AE40" s="19" t="n">
        <v>0</v>
      </c>
      <c r="AF40" s="19" t="n">
        <v>0</v>
      </c>
      <c r="AG40" s="19" t="n">
        <v>0</v>
      </c>
      <c r="AH40" s="19" t="n">
        <v>0</v>
      </c>
      <c r="AI40" s="19" t="n">
        <v>0</v>
      </c>
      <c r="AJ40" s="19" t="n">
        <v>0</v>
      </c>
      <c r="AK40" s="19" t="n">
        <v>0</v>
      </c>
      <c r="AL40" s="19" t="n">
        <v>0</v>
      </c>
      <c r="AM40" s="19" t="n">
        <v>0</v>
      </c>
      <c r="AN40" s="19" t="n">
        <v>0</v>
      </c>
      <c r="AO40" s="19" t="n">
        <v>0</v>
      </c>
      <c r="AP40" s="19" t="n">
        <v>0</v>
      </c>
      <c r="AQ40" s="19" t="n">
        <v>0</v>
      </c>
      <c r="AR40" s="19" t="n">
        <v>0</v>
      </c>
      <c r="AS40" s="19" t="n">
        <v>0</v>
      </c>
      <c r="AT40" s="19" t="n">
        <v>0</v>
      </c>
      <c r="AU40" s="19" t="n">
        <v>0</v>
      </c>
      <c r="AV40" s="19" t="n">
        <v>0</v>
      </c>
      <c r="AW40" s="19" t="n">
        <v>0</v>
      </c>
      <c r="AX40" s="19" t="n">
        <v>0</v>
      </c>
      <c r="AY40" s="19" t="n">
        <v>0</v>
      </c>
      <c r="AZ40" s="19" t="n">
        <v>0</v>
      </c>
      <c r="BA40" s="19" t="n">
        <v>0</v>
      </c>
      <c r="BB40" s="19" t="n">
        <v>0</v>
      </c>
      <c r="BC40" s="19" t="n">
        <v>0</v>
      </c>
      <c r="BD40" s="20" t="n">
        <f aca="false">SUM(D40:BC40)</f>
        <v>0.8</v>
      </c>
    </row>
    <row r="41" customFormat="false" ht="15" hidden="false" customHeight="false" outlineLevel="0" collapsed="false">
      <c r="A41" s="5" t="s">
        <v>216</v>
      </c>
      <c r="B41" s="5" t="s">
        <v>69</v>
      </c>
      <c r="C41" s="5" t="s">
        <v>179</v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0</v>
      </c>
      <c r="M41" s="19" t="n">
        <v>0</v>
      </c>
      <c r="N41" s="19" t="n">
        <v>0.03</v>
      </c>
      <c r="O41" s="19" t="n">
        <v>0.07</v>
      </c>
      <c r="P41" s="19" t="n">
        <v>0.03</v>
      </c>
      <c r="Q41" s="19" t="n">
        <v>0</v>
      </c>
      <c r="R41" s="19" t="n">
        <v>0.03</v>
      </c>
      <c r="S41" s="19" t="n">
        <v>0.07</v>
      </c>
      <c r="T41" s="19" t="n">
        <v>0.03</v>
      </c>
      <c r="U41" s="19" t="n">
        <v>0</v>
      </c>
      <c r="V41" s="19" t="n">
        <v>0</v>
      </c>
      <c r="W41" s="19" t="n">
        <v>0.09</v>
      </c>
      <c r="X41" s="19" t="n">
        <v>0.18</v>
      </c>
      <c r="Y41" s="19" t="n">
        <v>0.09</v>
      </c>
      <c r="Z41" s="19" t="n">
        <v>0.18</v>
      </c>
      <c r="AA41" s="19" t="n">
        <v>0.36</v>
      </c>
      <c r="AB41" s="19" t="n">
        <v>0.27</v>
      </c>
      <c r="AC41" s="19" t="n">
        <v>0.18</v>
      </c>
      <c r="AD41" s="19" t="n">
        <v>0.09</v>
      </c>
      <c r="AE41" s="19" t="n">
        <v>0</v>
      </c>
      <c r="AF41" s="19" t="n">
        <v>0.08</v>
      </c>
      <c r="AG41" s="19" t="n">
        <v>0.28</v>
      </c>
      <c r="AH41" s="19" t="n">
        <v>0.32</v>
      </c>
      <c r="AI41" s="19" t="n">
        <v>0.2</v>
      </c>
      <c r="AJ41" s="19" t="n">
        <v>0.17</v>
      </c>
      <c r="AK41" s="19" t="n">
        <v>0.17</v>
      </c>
      <c r="AL41" s="19" t="n">
        <v>0.17</v>
      </c>
      <c r="AM41" s="19" t="n">
        <v>0.08</v>
      </c>
      <c r="AN41" s="19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0</v>
      </c>
      <c r="AW41" s="19" t="n">
        <v>0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20" t="n">
        <f aca="false">SUM(D41:BC41)</f>
        <v>3.17</v>
      </c>
    </row>
    <row r="42" customFormat="false" ht="15" hidden="false" customHeight="false" outlineLevel="0" collapsed="false">
      <c r="A42" s="5" t="s">
        <v>217</v>
      </c>
      <c r="B42" s="5" t="s">
        <v>69</v>
      </c>
      <c r="C42" s="5" t="s">
        <v>179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0</v>
      </c>
      <c r="J42" s="19" t="n">
        <v>0</v>
      </c>
      <c r="K42" s="19" t="n">
        <v>0</v>
      </c>
      <c r="L42" s="19" t="n">
        <v>0</v>
      </c>
      <c r="M42" s="19" t="n">
        <v>0</v>
      </c>
      <c r="N42" s="19" t="n">
        <v>0</v>
      </c>
      <c r="O42" s="19" t="n">
        <v>0</v>
      </c>
      <c r="P42" s="19" t="n">
        <v>0</v>
      </c>
      <c r="Q42" s="19" t="n">
        <v>0.09</v>
      </c>
      <c r="R42" s="19" t="n">
        <v>0.18</v>
      </c>
      <c r="S42" s="19" t="n">
        <v>0.09</v>
      </c>
      <c r="T42" s="19" t="n">
        <v>0</v>
      </c>
      <c r="U42" s="19" t="n">
        <v>0</v>
      </c>
      <c r="V42" s="19" t="n">
        <v>0.08</v>
      </c>
      <c r="W42" s="19" t="n">
        <v>0.16</v>
      </c>
      <c r="X42" s="19" t="n">
        <v>0.08</v>
      </c>
      <c r="Y42" s="19" t="n">
        <v>0.08</v>
      </c>
      <c r="Z42" s="19" t="n">
        <v>0.16</v>
      </c>
      <c r="AA42" s="19" t="n">
        <v>0.21</v>
      </c>
      <c r="AB42" s="19" t="n">
        <v>0.27</v>
      </c>
      <c r="AC42" s="19" t="n">
        <v>0.14</v>
      </c>
      <c r="AD42" s="19" t="n">
        <v>0</v>
      </c>
      <c r="AE42" s="19" t="n">
        <v>0.28</v>
      </c>
      <c r="AF42" s="19" t="n">
        <v>0.56</v>
      </c>
      <c r="AG42" s="19" t="n">
        <v>0.28</v>
      </c>
      <c r="AH42" s="19" t="n">
        <v>0</v>
      </c>
      <c r="AI42" s="19" t="n">
        <v>0.08</v>
      </c>
      <c r="AJ42" s="19" t="n">
        <v>0.17</v>
      </c>
      <c r="AK42" s="19" t="n">
        <v>0.08</v>
      </c>
      <c r="AL42" s="19" t="n">
        <v>0</v>
      </c>
      <c r="AM42" s="19" t="n">
        <v>0</v>
      </c>
      <c r="AN42" s="19" t="n">
        <v>0</v>
      </c>
      <c r="AO42" s="19" t="n">
        <v>0</v>
      </c>
      <c r="AP42" s="19" t="n">
        <v>0</v>
      </c>
      <c r="AQ42" s="19" t="n">
        <v>0</v>
      </c>
      <c r="AR42" s="19" t="n">
        <v>0</v>
      </c>
      <c r="AS42" s="19" t="n">
        <v>0</v>
      </c>
      <c r="AT42" s="19" t="n">
        <v>0</v>
      </c>
      <c r="AU42" s="19" t="n">
        <v>0</v>
      </c>
      <c r="AV42" s="19" t="n">
        <v>0</v>
      </c>
      <c r="AW42" s="19" t="n">
        <v>0</v>
      </c>
      <c r="AX42" s="19" t="n">
        <v>0</v>
      </c>
      <c r="AY42" s="19" t="n">
        <v>0</v>
      </c>
      <c r="AZ42" s="19" t="n">
        <v>0</v>
      </c>
      <c r="BA42" s="19" t="n">
        <v>0</v>
      </c>
      <c r="BB42" s="19" t="n">
        <v>0</v>
      </c>
      <c r="BC42" s="19" t="n">
        <v>0</v>
      </c>
      <c r="BD42" s="20" t="n">
        <f aca="false">SUM(D42:BC42)</f>
        <v>2.99</v>
      </c>
    </row>
    <row r="43" customFormat="false" ht="15" hidden="false" customHeight="false" outlineLevel="0" collapsed="false">
      <c r="A43" s="5" t="s">
        <v>218</v>
      </c>
      <c r="B43" s="5" t="s">
        <v>57</v>
      </c>
      <c r="C43" s="5" t="s">
        <v>179</v>
      </c>
      <c r="D43" s="19" t="n">
        <v>0.07</v>
      </c>
      <c r="E43" s="19" t="n">
        <v>0.14</v>
      </c>
      <c r="F43" s="19" t="n">
        <v>0.07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0.15</v>
      </c>
      <c r="P43" s="19" t="n">
        <v>0.29</v>
      </c>
      <c r="Q43" s="19" t="n">
        <v>0.15</v>
      </c>
      <c r="R43" s="19" t="n">
        <v>0.03</v>
      </c>
      <c r="S43" s="19" t="n">
        <v>0.16</v>
      </c>
      <c r="T43" s="19" t="n">
        <v>0.24</v>
      </c>
      <c r="U43" s="19" t="n">
        <v>0.14</v>
      </c>
      <c r="V43" s="19" t="n">
        <v>0.08</v>
      </c>
      <c r="W43" s="19" t="n">
        <v>0.18</v>
      </c>
      <c r="X43" s="19" t="n">
        <v>0.79</v>
      </c>
      <c r="Y43" s="19" t="n">
        <v>1.66</v>
      </c>
      <c r="Z43" s="19" t="n">
        <v>1.76</v>
      </c>
      <c r="AA43" s="19" t="n">
        <v>1.25</v>
      </c>
      <c r="AB43" s="19" t="n">
        <v>0.76</v>
      </c>
      <c r="AC43" s="19" t="n">
        <v>0.52</v>
      </c>
      <c r="AD43" s="19" t="n">
        <v>0.34</v>
      </c>
      <c r="AE43" s="19" t="n">
        <v>0.46</v>
      </c>
      <c r="AF43" s="19" t="n">
        <v>0.98</v>
      </c>
      <c r="AG43" s="19" t="n">
        <v>1.05</v>
      </c>
      <c r="AH43" s="19" t="n">
        <v>0.85</v>
      </c>
      <c r="AI43" s="19" t="n">
        <v>0.7</v>
      </c>
      <c r="AJ43" s="19" t="n">
        <v>0.33</v>
      </c>
      <c r="AK43" s="19" t="n">
        <v>0.05</v>
      </c>
      <c r="AL43" s="19" t="n">
        <v>0</v>
      </c>
      <c r="AM43" s="19" t="n">
        <v>0</v>
      </c>
      <c r="AN43" s="19" t="n">
        <v>0.05</v>
      </c>
      <c r="AO43" s="19" t="n">
        <v>0.1</v>
      </c>
      <c r="AP43" s="19" t="n">
        <v>0.05</v>
      </c>
      <c r="AQ43" s="19" t="n">
        <v>0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0</v>
      </c>
      <c r="AW43" s="19" t="n">
        <v>0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20" t="n">
        <f aca="false">SUM(D43:BC43)</f>
        <v>13.4</v>
      </c>
    </row>
    <row r="44" customFormat="false" ht="15" hidden="false" customHeight="false" outlineLevel="0" collapsed="false">
      <c r="A44" s="5" t="s">
        <v>219</v>
      </c>
      <c r="B44" s="5" t="s">
        <v>69</v>
      </c>
      <c r="C44" s="5" t="s">
        <v>179</v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0.08</v>
      </c>
      <c r="Q44" s="19" t="n">
        <v>0.54</v>
      </c>
      <c r="R44" s="19" t="n">
        <v>0.97</v>
      </c>
      <c r="S44" s="19" t="n">
        <v>1.12</v>
      </c>
      <c r="T44" s="19" t="n">
        <v>1.3</v>
      </c>
      <c r="U44" s="19" t="n">
        <v>1.31</v>
      </c>
      <c r="V44" s="19" t="n">
        <v>1.31</v>
      </c>
      <c r="W44" s="19" t="n">
        <v>1.48</v>
      </c>
      <c r="X44" s="19" t="n">
        <v>2</v>
      </c>
      <c r="Y44" s="19" t="n">
        <v>2.47</v>
      </c>
      <c r="Z44" s="19" t="n">
        <v>2.34</v>
      </c>
      <c r="AA44" s="19" t="n">
        <v>1.95</v>
      </c>
      <c r="AB44" s="19" t="n">
        <v>1.75</v>
      </c>
      <c r="AC44" s="19" t="n">
        <v>1.84</v>
      </c>
      <c r="AD44" s="19" t="n">
        <v>2.09</v>
      </c>
      <c r="AE44" s="19" t="n">
        <v>2.48</v>
      </c>
      <c r="AF44" s="19" t="n">
        <v>2.38</v>
      </c>
      <c r="AG44" s="19" t="n">
        <v>1.3</v>
      </c>
      <c r="AH44" s="19" t="n">
        <v>0.83</v>
      </c>
      <c r="AI44" s="19" t="n">
        <v>2.04</v>
      </c>
      <c r="AJ44" s="19" t="n">
        <v>2.44</v>
      </c>
      <c r="AK44" s="19" t="n">
        <v>1.31</v>
      </c>
      <c r="AL44" s="19" t="n">
        <v>0.95</v>
      </c>
      <c r="AM44" s="19" t="n">
        <v>0.9</v>
      </c>
      <c r="AN44" s="19" t="n">
        <v>0.53</v>
      </c>
      <c r="AO44" s="19" t="n">
        <v>0.47</v>
      </c>
      <c r="AP44" s="19" t="n">
        <v>0.38</v>
      </c>
      <c r="AQ44" s="19" t="n">
        <v>0.22</v>
      </c>
      <c r="AR44" s="19" t="n">
        <v>0.2</v>
      </c>
      <c r="AS44" s="19" t="n">
        <v>0.15</v>
      </c>
      <c r="AT44" s="19" t="n">
        <v>0.2</v>
      </c>
      <c r="AU44" s="19" t="n">
        <v>0.33</v>
      </c>
      <c r="AV44" s="19" t="n">
        <v>0.17</v>
      </c>
      <c r="AW44" s="19" t="n">
        <v>0</v>
      </c>
      <c r="AX44" s="19" t="n">
        <v>0</v>
      </c>
      <c r="AY44" s="19" t="n">
        <v>0</v>
      </c>
      <c r="AZ44" s="19" t="n">
        <v>0</v>
      </c>
      <c r="BA44" s="19" t="n">
        <v>0</v>
      </c>
      <c r="BB44" s="19" t="n">
        <v>0</v>
      </c>
      <c r="BC44" s="19" t="n">
        <v>0</v>
      </c>
      <c r="BD44" s="20" t="n">
        <f aca="false">SUM(D44:BC44)</f>
        <v>39.83</v>
      </c>
    </row>
    <row r="45" customFormat="false" ht="15" hidden="false" customHeight="false" outlineLevel="0" collapsed="false">
      <c r="A45" s="5" t="s">
        <v>220</v>
      </c>
      <c r="B45" s="5" t="s">
        <v>45</v>
      </c>
      <c r="C45" s="5" t="s">
        <v>179</v>
      </c>
      <c r="D45" s="19" t="n">
        <v>0.08</v>
      </c>
      <c r="E45" s="19" t="n">
        <v>0.16</v>
      </c>
      <c r="F45" s="19" t="n">
        <v>0.08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0.15</v>
      </c>
      <c r="O45" s="19" t="n">
        <v>0.56</v>
      </c>
      <c r="P45" s="19" t="n">
        <v>0.75</v>
      </c>
      <c r="Q45" s="19" t="n">
        <v>0.41</v>
      </c>
      <c r="R45" s="19" t="n">
        <v>0.21</v>
      </c>
      <c r="S45" s="19" t="n">
        <v>0.34</v>
      </c>
      <c r="T45" s="19" t="n">
        <v>0.36</v>
      </c>
      <c r="U45" s="19" t="n">
        <v>0.34</v>
      </c>
      <c r="V45" s="19" t="n">
        <v>0.4</v>
      </c>
      <c r="W45" s="19" t="n">
        <v>0.4</v>
      </c>
      <c r="X45" s="19" t="n">
        <v>0.86</v>
      </c>
      <c r="Y45" s="19" t="n">
        <v>1.28</v>
      </c>
      <c r="Z45" s="19" t="n">
        <v>0.84</v>
      </c>
      <c r="AA45" s="19" t="n">
        <v>0.61</v>
      </c>
      <c r="AB45" s="19" t="n">
        <v>0.63</v>
      </c>
      <c r="AC45" s="19" t="n">
        <v>0.38</v>
      </c>
      <c r="AD45" s="19" t="n">
        <v>0.29</v>
      </c>
      <c r="AE45" s="19" t="n">
        <v>0.39</v>
      </c>
      <c r="AF45" s="19" t="n">
        <v>0.32</v>
      </c>
      <c r="AG45" s="19" t="n">
        <v>0.35</v>
      </c>
      <c r="AH45" s="19" t="n">
        <v>0.56</v>
      </c>
      <c r="AI45" s="19" t="n">
        <v>0.43</v>
      </c>
      <c r="AJ45" s="19" t="n">
        <v>0.12</v>
      </c>
      <c r="AK45" s="19" t="n">
        <v>0.08</v>
      </c>
      <c r="AL45" s="19" t="n">
        <v>0.17</v>
      </c>
      <c r="AM45" s="19" t="n">
        <v>0.08</v>
      </c>
      <c r="AN45" s="19" t="n">
        <v>0.03</v>
      </c>
      <c r="AO45" s="19" t="n">
        <v>0.07</v>
      </c>
      <c r="AP45" s="19" t="n">
        <v>0.03</v>
      </c>
      <c r="AQ45" s="19" t="n">
        <v>0</v>
      </c>
      <c r="AR45" s="19" t="n">
        <v>0.03</v>
      </c>
      <c r="AS45" s="19" t="n">
        <v>0.07</v>
      </c>
      <c r="AT45" s="19" t="n">
        <v>0.03</v>
      </c>
      <c r="AU45" s="19" t="n">
        <v>0</v>
      </c>
      <c r="AV45" s="19" t="n">
        <v>0.08</v>
      </c>
      <c r="AW45" s="19" t="n">
        <v>0.17</v>
      </c>
      <c r="AX45" s="19" t="n">
        <v>0.08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20" t="n">
        <f aca="false">SUM(D45:BC45)</f>
        <v>12.22</v>
      </c>
    </row>
    <row r="46" customFormat="false" ht="15" hidden="false" customHeight="false" outlineLevel="0" collapsed="false">
      <c r="A46" s="5" t="s">
        <v>221</v>
      </c>
      <c r="B46" s="5" t="s">
        <v>69</v>
      </c>
      <c r="C46" s="5" t="s">
        <v>179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19" t="n">
        <v>0</v>
      </c>
      <c r="U46" s="19" t="n">
        <v>0</v>
      </c>
      <c r="V46" s="19" t="n">
        <v>0.17</v>
      </c>
      <c r="W46" s="19" t="n">
        <v>0.34</v>
      </c>
      <c r="X46" s="19" t="n">
        <v>0.17</v>
      </c>
      <c r="Y46" s="19" t="n">
        <v>0.17</v>
      </c>
      <c r="Z46" s="19" t="n">
        <v>0.45</v>
      </c>
      <c r="AA46" s="19" t="n">
        <v>0.4</v>
      </c>
      <c r="AB46" s="19" t="n">
        <v>0.11</v>
      </c>
      <c r="AC46" s="19" t="n">
        <v>0</v>
      </c>
      <c r="AD46" s="19" t="n">
        <v>0</v>
      </c>
      <c r="AE46" s="19" t="n">
        <v>0.33</v>
      </c>
      <c r="AF46" s="19" t="n">
        <v>0.91</v>
      </c>
      <c r="AG46" s="19" t="n">
        <v>1</v>
      </c>
      <c r="AH46" s="19" t="n">
        <v>0.91</v>
      </c>
      <c r="AI46" s="19" t="n">
        <v>1.33</v>
      </c>
      <c r="AJ46" s="19" t="n">
        <v>1.33</v>
      </c>
      <c r="AK46" s="19" t="n">
        <v>0.83</v>
      </c>
      <c r="AL46" s="19" t="n">
        <v>0.91</v>
      </c>
      <c r="AM46" s="19" t="n">
        <v>0.83</v>
      </c>
      <c r="AN46" s="19" t="n">
        <v>0.25</v>
      </c>
      <c r="AO46" s="19" t="n">
        <v>0.08</v>
      </c>
      <c r="AP46" s="19" t="n">
        <v>0.17</v>
      </c>
      <c r="AQ46" s="19" t="n">
        <v>0.08</v>
      </c>
      <c r="AR46" s="19" t="n">
        <v>0</v>
      </c>
      <c r="AS46" s="19" t="n">
        <v>0.08</v>
      </c>
      <c r="AT46" s="19" t="n">
        <v>0.17</v>
      </c>
      <c r="AU46" s="19" t="n">
        <v>0.08</v>
      </c>
      <c r="AV46" s="19" t="n">
        <v>0</v>
      </c>
      <c r="AW46" s="19" t="n">
        <v>0</v>
      </c>
      <c r="AX46" s="19" t="n">
        <v>0</v>
      </c>
      <c r="AY46" s="19" t="n">
        <v>0</v>
      </c>
      <c r="AZ46" s="19" t="n">
        <v>0</v>
      </c>
      <c r="BA46" s="19" t="n">
        <v>0</v>
      </c>
      <c r="BB46" s="19" t="n">
        <v>0</v>
      </c>
      <c r="BC46" s="19" t="n">
        <v>0</v>
      </c>
      <c r="BD46" s="20" t="n">
        <f aca="false">SUM(D46:BC46)</f>
        <v>11.1</v>
      </c>
    </row>
    <row r="47" customFormat="false" ht="15" hidden="false" customHeight="false" outlineLevel="0" collapsed="false">
      <c r="A47" s="5" t="s">
        <v>222</v>
      </c>
      <c r="B47" s="5" t="s">
        <v>62</v>
      </c>
      <c r="C47" s="5" t="s">
        <v>179</v>
      </c>
      <c r="D47" s="19" t="n">
        <v>0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0</v>
      </c>
      <c r="J47" s="19" t="n">
        <v>0</v>
      </c>
      <c r="K47" s="19" t="n">
        <v>0</v>
      </c>
      <c r="L47" s="19" t="n">
        <v>0</v>
      </c>
      <c r="M47" s="19" t="n">
        <v>0</v>
      </c>
      <c r="N47" s="19" t="n">
        <v>0.08</v>
      </c>
      <c r="O47" s="19" t="n">
        <v>0.16</v>
      </c>
      <c r="P47" s="19" t="n">
        <v>0.08</v>
      </c>
      <c r="Q47" s="19" t="n">
        <v>0</v>
      </c>
      <c r="R47" s="19" t="n">
        <v>0</v>
      </c>
      <c r="S47" s="19" t="n">
        <v>0</v>
      </c>
      <c r="T47" s="19" t="n">
        <v>0</v>
      </c>
      <c r="U47" s="19" t="n">
        <v>0.17</v>
      </c>
      <c r="V47" s="19" t="n">
        <v>0.42</v>
      </c>
      <c r="W47" s="19" t="n">
        <v>0.47</v>
      </c>
      <c r="X47" s="19" t="n">
        <v>0.4</v>
      </c>
      <c r="Y47" s="19" t="n">
        <v>0.21</v>
      </c>
      <c r="Z47" s="19" t="n">
        <v>0.07</v>
      </c>
      <c r="AA47" s="19" t="n">
        <v>0.18</v>
      </c>
      <c r="AB47" s="19" t="n">
        <v>0.34</v>
      </c>
      <c r="AC47" s="19" t="n">
        <v>0.28</v>
      </c>
      <c r="AD47" s="19" t="n">
        <v>0.27</v>
      </c>
      <c r="AE47" s="19" t="n">
        <v>0.49</v>
      </c>
      <c r="AF47" s="19" t="n">
        <v>0.64</v>
      </c>
      <c r="AG47" s="19" t="n">
        <v>0.48</v>
      </c>
      <c r="AH47" s="19" t="n">
        <v>0.25</v>
      </c>
      <c r="AI47" s="19" t="n">
        <v>0.08</v>
      </c>
      <c r="AJ47" s="19" t="n">
        <v>0</v>
      </c>
      <c r="AK47" s="19" t="n">
        <v>0.03</v>
      </c>
      <c r="AL47" s="19" t="n">
        <v>0.18</v>
      </c>
      <c r="AM47" s="19" t="n">
        <v>0.35</v>
      </c>
      <c r="AN47" s="19" t="n">
        <v>0.28</v>
      </c>
      <c r="AO47" s="19" t="n">
        <v>0.08</v>
      </c>
      <c r="AP47" s="19" t="n">
        <v>0</v>
      </c>
      <c r="AQ47" s="19" t="n">
        <v>0</v>
      </c>
      <c r="AR47" s="19" t="n">
        <v>0</v>
      </c>
      <c r="AS47" s="19" t="n">
        <v>0</v>
      </c>
      <c r="AT47" s="19" t="n">
        <v>0</v>
      </c>
      <c r="AU47" s="19" t="n">
        <v>0</v>
      </c>
      <c r="AV47" s="19" t="n">
        <v>0</v>
      </c>
      <c r="AW47" s="19" t="n">
        <v>0</v>
      </c>
      <c r="AX47" s="19" t="n">
        <v>0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20" t="n">
        <f aca="false">SUM(D47:BC47)</f>
        <v>5.99</v>
      </c>
    </row>
    <row r="48" customFormat="false" ht="15" hidden="false" customHeight="false" outlineLevel="0" collapsed="false">
      <c r="A48" s="5" t="s">
        <v>223</v>
      </c>
      <c r="B48" s="5" t="s">
        <v>45</v>
      </c>
      <c r="C48" s="5" t="s">
        <v>179</v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0</v>
      </c>
      <c r="N48" s="19" t="n">
        <v>0</v>
      </c>
      <c r="O48" s="19" t="n">
        <v>0</v>
      </c>
      <c r="P48" s="19" t="n">
        <v>0</v>
      </c>
      <c r="Q48" s="19" t="n">
        <v>0</v>
      </c>
      <c r="R48" s="19" t="n">
        <v>0</v>
      </c>
      <c r="S48" s="19" t="n">
        <v>0.06</v>
      </c>
      <c r="T48" s="19" t="n">
        <v>0.11</v>
      </c>
      <c r="U48" s="19" t="n">
        <v>0.11</v>
      </c>
      <c r="V48" s="19" t="n">
        <v>0.11</v>
      </c>
      <c r="W48" s="19" t="n">
        <v>0.14</v>
      </c>
      <c r="X48" s="19" t="n">
        <v>0.16</v>
      </c>
      <c r="Y48" s="19" t="n">
        <v>0.16</v>
      </c>
      <c r="Z48" s="19" t="n">
        <v>0.29</v>
      </c>
      <c r="AA48" s="19" t="n">
        <v>0.35</v>
      </c>
      <c r="AB48" s="19" t="n">
        <v>0.19</v>
      </c>
      <c r="AC48" s="19" t="n">
        <v>0.19</v>
      </c>
      <c r="AD48" s="19" t="n">
        <v>0.21</v>
      </c>
      <c r="AE48" s="19" t="n">
        <v>0.25</v>
      </c>
      <c r="AF48" s="19" t="n">
        <v>0.33</v>
      </c>
      <c r="AG48" s="19" t="n">
        <v>0.45</v>
      </c>
      <c r="AH48" s="19" t="n">
        <v>0.56</v>
      </c>
      <c r="AI48" s="19" t="n">
        <v>0.4</v>
      </c>
      <c r="AJ48" s="19" t="n">
        <v>0.23</v>
      </c>
      <c r="AK48" s="19" t="n">
        <v>0.12</v>
      </c>
      <c r="AL48" s="19" t="n">
        <v>0</v>
      </c>
      <c r="AM48" s="19" t="n">
        <v>0</v>
      </c>
      <c r="AN48" s="19" t="n">
        <v>0</v>
      </c>
      <c r="AO48" s="19" t="n">
        <v>0</v>
      </c>
      <c r="AP48" s="19" t="n">
        <v>0</v>
      </c>
      <c r="AQ48" s="19" t="n">
        <v>0</v>
      </c>
      <c r="AR48" s="19" t="n">
        <v>0.08</v>
      </c>
      <c r="AS48" s="19" t="n">
        <v>0.17</v>
      </c>
      <c r="AT48" s="19" t="n">
        <v>0.08</v>
      </c>
      <c r="AU48" s="19" t="n">
        <v>0</v>
      </c>
      <c r="AV48" s="19" t="n">
        <v>0</v>
      </c>
      <c r="AW48" s="19" t="n">
        <v>0</v>
      </c>
      <c r="AX48" s="19" t="n">
        <v>0</v>
      </c>
      <c r="AY48" s="19" t="n">
        <v>0</v>
      </c>
      <c r="AZ48" s="19" t="n">
        <v>0</v>
      </c>
      <c r="BA48" s="19" t="n">
        <v>0</v>
      </c>
      <c r="BB48" s="19" t="n">
        <v>0</v>
      </c>
      <c r="BC48" s="19" t="n">
        <v>0</v>
      </c>
      <c r="BD48" s="20" t="n">
        <f aca="false">SUM(D48:BC48)</f>
        <v>4.75</v>
      </c>
    </row>
    <row r="49" customFormat="false" ht="15" hidden="false" customHeight="false" outlineLevel="0" collapsed="false">
      <c r="A49" s="5" t="s">
        <v>224</v>
      </c>
      <c r="B49" s="5" t="s">
        <v>57</v>
      </c>
      <c r="C49" s="5" t="s">
        <v>179</v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19" t="n">
        <v>0</v>
      </c>
      <c r="U49" s="19" t="n">
        <v>0</v>
      </c>
      <c r="V49" s="19" t="n">
        <v>0</v>
      </c>
      <c r="W49" s="19" t="n">
        <v>0</v>
      </c>
      <c r="X49" s="19" t="n">
        <v>0</v>
      </c>
      <c r="Y49" s="19" t="n">
        <v>0</v>
      </c>
      <c r="Z49" s="19" t="n">
        <v>0</v>
      </c>
      <c r="AA49" s="19" t="n">
        <v>0.08</v>
      </c>
      <c r="AB49" s="19" t="n">
        <v>0.16</v>
      </c>
      <c r="AC49" s="19" t="n">
        <v>0.25</v>
      </c>
      <c r="AD49" s="19" t="n">
        <v>0.43</v>
      </c>
      <c r="AE49" s="19" t="n">
        <v>0.35</v>
      </c>
      <c r="AF49" s="19" t="n">
        <v>0.17</v>
      </c>
      <c r="AG49" s="19" t="n">
        <v>0.17</v>
      </c>
      <c r="AH49" s="19" t="n">
        <v>0.08</v>
      </c>
      <c r="AI49" s="19" t="n">
        <v>0</v>
      </c>
      <c r="AJ49" s="19" t="n">
        <v>0</v>
      </c>
      <c r="AK49" s="19" t="n">
        <v>0</v>
      </c>
      <c r="AL49" s="19" t="n">
        <v>0</v>
      </c>
      <c r="AM49" s="19" t="n">
        <v>0</v>
      </c>
      <c r="AN49" s="19" t="n">
        <v>0</v>
      </c>
      <c r="AO49" s="19" t="n">
        <v>0</v>
      </c>
      <c r="AP49" s="19" t="n">
        <v>0</v>
      </c>
      <c r="AQ49" s="19" t="n">
        <v>0</v>
      </c>
      <c r="AR49" s="19" t="n">
        <v>0</v>
      </c>
      <c r="AS49" s="19" t="n">
        <v>0</v>
      </c>
      <c r="AT49" s="19" t="n">
        <v>0</v>
      </c>
      <c r="AU49" s="19" t="n">
        <v>0</v>
      </c>
      <c r="AV49" s="19" t="n">
        <v>0</v>
      </c>
      <c r="AW49" s="19" t="n">
        <v>0</v>
      </c>
      <c r="AX49" s="19" t="n">
        <v>0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20" t="n">
        <f aca="false">SUM(D49:BC49)</f>
        <v>1.69</v>
      </c>
    </row>
    <row r="50" customFormat="false" ht="15" hidden="false" customHeight="false" outlineLevel="0" collapsed="false">
      <c r="A50" s="5" t="s">
        <v>225</v>
      </c>
      <c r="B50" s="5" t="s">
        <v>45</v>
      </c>
      <c r="C50" s="5" t="s">
        <v>179</v>
      </c>
      <c r="D50" s="19" t="n">
        <v>0</v>
      </c>
      <c r="E50" s="19" t="n">
        <v>0</v>
      </c>
      <c r="F50" s="19" t="n">
        <v>0</v>
      </c>
      <c r="G50" s="19" t="n">
        <v>0</v>
      </c>
      <c r="H50" s="19" t="n">
        <v>0</v>
      </c>
      <c r="I50" s="19" t="n">
        <v>0</v>
      </c>
      <c r="J50" s="19" t="n">
        <v>0</v>
      </c>
      <c r="K50" s="19" t="n">
        <v>0</v>
      </c>
      <c r="L50" s="19" t="n">
        <v>0</v>
      </c>
      <c r="M50" s="19" t="n">
        <v>0</v>
      </c>
      <c r="N50" s="19" t="n">
        <v>0.06</v>
      </c>
      <c r="O50" s="19" t="n">
        <v>0.11</v>
      </c>
      <c r="P50" s="19" t="n">
        <v>0.06</v>
      </c>
      <c r="Q50" s="19" t="n">
        <v>0</v>
      </c>
      <c r="R50" s="19" t="n">
        <v>0.06</v>
      </c>
      <c r="S50" s="19" t="n">
        <v>0.11</v>
      </c>
      <c r="T50" s="19" t="n">
        <v>0.25</v>
      </c>
      <c r="U50" s="19" t="n">
        <v>0.54</v>
      </c>
      <c r="V50" s="19" t="n">
        <v>0.61</v>
      </c>
      <c r="W50" s="19" t="n">
        <v>0.42</v>
      </c>
      <c r="X50" s="19" t="n">
        <v>0.55</v>
      </c>
      <c r="Y50" s="19" t="n">
        <v>0.95</v>
      </c>
      <c r="Z50" s="19" t="n">
        <v>1.67</v>
      </c>
      <c r="AA50" s="19" t="n">
        <v>2.56</v>
      </c>
      <c r="AB50" s="19" t="n">
        <v>2.53</v>
      </c>
      <c r="AC50" s="19" t="n">
        <v>2.23</v>
      </c>
      <c r="AD50" s="19" t="n">
        <v>2.09</v>
      </c>
      <c r="AE50" s="19" t="n">
        <v>2.05</v>
      </c>
      <c r="AF50" s="19" t="n">
        <v>1.96</v>
      </c>
      <c r="AG50" s="19" t="n">
        <v>1.11</v>
      </c>
      <c r="AH50" s="19" t="n">
        <v>0.86</v>
      </c>
      <c r="AI50" s="19" t="n">
        <v>1.21</v>
      </c>
      <c r="AJ50" s="19" t="n">
        <v>0.71</v>
      </c>
      <c r="AK50" s="19" t="n">
        <v>0.15</v>
      </c>
      <c r="AL50" s="19" t="n">
        <v>0.07</v>
      </c>
      <c r="AM50" s="19" t="n">
        <v>0.03</v>
      </c>
      <c r="AN50" s="19" t="n">
        <v>0</v>
      </c>
      <c r="AO50" s="19" t="n">
        <v>0.05</v>
      </c>
      <c r="AP50" s="19" t="n">
        <v>0.1</v>
      </c>
      <c r="AQ50" s="19" t="n">
        <v>0.1</v>
      </c>
      <c r="AR50" s="19" t="n">
        <v>0.1</v>
      </c>
      <c r="AS50" s="19" t="n">
        <v>0.17</v>
      </c>
      <c r="AT50" s="19" t="n">
        <v>0.27</v>
      </c>
      <c r="AU50" s="19" t="n">
        <v>0.18</v>
      </c>
      <c r="AV50" s="19" t="n">
        <v>0.03</v>
      </c>
      <c r="AW50" s="19" t="n">
        <v>0.03</v>
      </c>
      <c r="AX50" s="19" t="n">
        <v>0.07</v>
      </c>
      <c r="AY50" s="19" t="n">
        <v>0.03</v>
      </c>
      <c r="AZ50" s="19" t="n">
        <v>0</v>
      </c>
      <c r="BA50" s="19" t="n">
        <v>0</v>
      </c>
      <c r="BB50" s="19" t="n">
        <v>0</v>
      </c>
      <c r="BC50" s="19" t="n">
        <v>0</v>
      </c>
      <c r="BD50" s="20" t="n">
        <f aca="false">SUM(D50:BC50)</f>
        <v>24.08</v>
      </c>
    </row>
    <row r="51" customFormat="false" ht="15" hidden="false" customHeight="false" outlineLevel="0" collapsed="false">
      <c r="A51" s="5" t="s">
        <v>226</v>
      </c>
      <c r="B51" s="5" t="s">
        <v>69</v>
      </c>
      <c r="C51" s="5" t="s">
        <v>179</v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0</v>
      </c>
      <c r="O51" s="19" t="n">
        <v>0</v>
      </c>
      <c r="P51" s="19" t="n">
        <v>0</v>
      </c>
      <c r="Q51" s="19" t="n">
        <v>0.11</v>
      </c>
      <c r="R51" s="19" t="n">
        <v>0.23</v>
      </c>
      <c r="S51" s="19" t="n">
        <v>0.11</v>
      </c>
      <c r="T51" s="19" t="n">
        <v>0.06</v>
      </c>
      <c r="U51" s="19" t="n">
        <v>0.19</v>
      </c>
      <c r="V51" s="19" t="n">
        <v>0.29</v>
      </c>
      <c r="W51" s="19" t="n">
        <v>0.41</v>
      </c>
      <c r="X51" s="19" t="n">
        <v>0.5</v>
      </c>
      <c r="Y51" s="19" t="n">
        <v>0.42</v>
      </c>
      <c r="Z51" s="19" t="n">
        <v>0.26</v>
      </c>
      <c r="AA51" s="19" t="n">
        <v>0.25</v>
      </c>
      <c r="AB51" s="19" t="n">
        <v>0.46</v>
      </c>
      <c r="AC51" s="19" t="n">
        <v>0.45</v>
      </c>
      <c r="AD51" s="19" t="n">
        <v>0.23</v>
      </c>
      <c r="AE51" s="19" t="n">
        <v>0.27</v>
      </c>
      <c r="AF51" s="19" t="n">
        <v>0.43</v>
      </c>
      <c r="AG51" s="19" t="n">
        <v>0.35</v>
      </c>
      <c r="AH51" s="19" t="n">
        <v>0.2</v>
      </c>
      <c r="AI51" s="19" t="n">
        <v>0.17</v>
      </c>
      <c r="AJ51" s="19" t="n">
        <v>0.08</v>
      </c>
      <c r="AK51" s="19" t="n">
        <v>0</v>
      </c>
      <c r="AL51" s="19" t="n">
        <v>0.2</v>
      </c>
      <c r="AM51" s="19" t="n">
        <v>0.4</v>
      </c>
      <c r="AN51" s="19" t="n">
        <v>0.2</v>
      </c>
      <c r="AO51" s="19" t="n">
        <v>0</v>
      </c>
      <c r="AP51" s="19" t="n">
        <v>0</v>
      </c>
      <c r="AQ51" s="19" t="n">
        <v>0</v>
      </c>
      <c r="AR51" s="19" t="n">
        <v>0</v>
      </c>
      <c r="AS51" s="19" t="n">
        <v>0</v>
      </c>
      <c r="AT51" s="19" t="n">
        <v>0</v>
      </c>
      <c r="AU51" s="19" t="n">
        <v>0</v>
      </c>
      <c r="AV51" s="19" t="n">
        <v>0</v>
      </c>
      <c r="AW51" s="19" t="n">
        <v>0</v>
      </c>
      <c r="AX51" s="19" t="n">
        <v>0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20" t="n">
        <f aca="false">SUM(D51:BC51)</f>
        <v>6.27</v>
      </c>
    </row>
    <row r="52" customFormat="false" ht="15" hidden="false" customHeight="false" outlineLevel="0" collapsed="false">
      <c r="A52" s="5" t="s">
        <v>227</v>
      </c>
      <c r="B52" s="5" t="s">
        <v>57</v>
      </c>
      <c r="C52" s="5" t="s">
        <v>179</v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0.09</v>
      </c>
      <c r="I52" s="19" t="n">
        <v>0.18</v>
      </c>
      <c r="J52" s="19" t="n">
        <v>0.09</v>
      </c>
      <c r="K52" s="19" t="n">
        <v>0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0</v>
      </c>
      <c r="Q52" s="19" t="n">
        <v>0</v>
      </c>
      <c r="R52" s="19" t="n">
        <v>0</v>
      </c>
      <c r="S52" s="19" t="n">
        <v>0.08</v>
      </c>
      <c r="T52" s="19" t="n">
        <v>0.16</v>
      </c>
      <c r="U52" s="19" t="n">
        <v>0.1</v>
      </c>
      <c r="V52" s="19" t="n">
        <v>0.05</v>
      </c>
      <c r="W52" s="19" t="n">
        <v>0.02</v>
      </c>
      <c r="X52" s="19" t="n">
        <v>0.12</v>
      </c>
      <c r="Y52" s="19" t="n">
        <v>0.25</v>
      </c>
      <c r="Z52" s="19" t="n">
        <v>0.12</v>
      </c>
      <c r="AA52" s="19" t="n">
        <v>0</v>
      </c>
      <c r="AB52" s="19" t="n">
        <v>0</v>
      </c>
      <c r="AC52" s="19" t="n">
        <v>0.08</v>
      </c>
      <c r="AD52" s="19" t="n">
        <v>0.21</v>
      </c>
      <c r="AE52" s="19" t="n">
        <v>0.19</v>
      </c>
      <c r="AF52" s="19" t="n">
        <v>0.06</v>
      </c>
      <c r="AG52" s="19" t="n">
        <v>0</v>
      </c>
      <c r="AH52" s="19" t="n">
        <v>0</v>
      </c>
      <c r="AI52" s="19" t="n">
        <v>0</v>
      </c>
      <c r="AJ52" s="19" t="n">
        <v>0</v>
      </c>
      <c r="AK52" s="19" t="n">
        <v>0</v>
      </c>
      <c r="AL52" s="19" t="n">
        <v>0</v>
      </c>
      <c r="AM52" s="19" t="n">
        <v>0</v>
      </c>
      <c r="AN52" s="19" t="n">
        <v>0</v>
      </c>
      <c r="AO52" s="19" t="n">
        <v>0</v>
      </c>
      <c r="AP52" s="19" t="n">
        <v>0</v>
      </c>
      <c r="AQ52" s="19" t="n">
        <v>0</v>
      </c>
      <c r="AR52" s="19" t="n">
        <v>0</v>
      </c>
      <c r="AS52" s="19" t="n">
        <v>0</v>
      </c>
      <c r="AT52" s="19" t="n">
        <v>0</v>
      </c>
      <c r="AU52" s="19" t="n">
        <v>0</v>
      </c>
      <c r="AV52" s="19" t="n">
        <v>0</v>
      </c>
      <c r="AW52" s="19" t="n">
        <v>0</v>
      </c>
      <c r="AX52" s="19" t="n">
        <v>0</v>
      </c>
      <c r="AY52" s="19" t="n">
        <v>0</v>
      </c>
      <c r="AZ52" s="19" t="n">
        <v>0</v>
      </c>
      <c r="BA52" s="19" t="n">
        <v>0</v>
      </c>
      <c r="BB52" s="19" t="n">
        <v>0</v>
      </c>
      <c r="BC52" s="19" t="n">
        <v>0</v>
      </c>
      <c r="BD52" s="20" t="n">
        <f aca="false">SUM(D52:BC52)</f>
        <v>1.8</v>
      </c>
    </row>
    <row r="53" customFormat="false" ht="15" hidden="false" customHeight="false" outlineLevel="0" collapsed="false">
      <c r="A53" s="5" t="s">
        <v>228</v>
      </c>
      <c r="B53" s="5" t="s">
        <v>69</v>
      </c>
      <c r="C53" s="5" t="s">
        <v>179</v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0.08</v>
      </c>
      <c r="J53" s="19" t="n">
        <v>0.16</v>
      </c>
      <c r="K53" s="19" t="n">
        <v>0.08</v>
      </c>
      <c r="L53" s="19" t="n">
        <v>0</v>
      </c>
      <c r="M53" s="19" t="n">
        <v>0</v>
      </c>
      <c r="N53" s="19" t="n">
        <v>0</v>
      </c>
      <c r="O53" s="19" t="n">
        <v>0</v>
      </c>
      <c r="P53" s="19" t="n">
        <v>0.03</v>
      </c>
      <c r="Q53" s="19" t="n">
        <v>0.15</v>
      </c>
      <c r="R53" s="19" t="n">
        <v>0.28</v>
      </c>
      <c r="S53" s="19" t="n">
        <v>0.45</v>
      </c>
      <c r="T53" s="19" t="n">
        <v>0.47</v>
      </c>
      <c r="U53" s="19" t="n">
        <v>0.32</v>
      </c>
      <c r="V53" s="19" t="n">
        <v>0.33</v>
      </c>
      <c r="W53" s="19" t="n">
        <v>0.32</v>
      </c>
      <c r="X53" s="19" t="n">
        <v>0.26</v>
      </c>
      <c r="Y53" s="19" t="n">
        <v>0.28</v>
      </c>
      <c r="Z53" s="19" t="n">
        <v>0.37</v>
      </c>
      <c r="AA53" s="19" t="n">
        <v>0.45</v>
      </c>
      <c r="AB53" s="19" t="n">
        <v>0.27</v>
      </c>
      <c r="AC53" s="19" t="n">
        <v>0.21</v>
      </c>
      <c r="AD53" s="19" t="n">
        <v>0.28</v>
      </c>
      <c r="AE53" s="19" t="n">
        <v>0.25</v>
      </c>
      <c r="AF53" s="19" t="n">
        <v>0.22</v>
      </c>
      <c r="AG53" s="19" t="n">
        <v>0.1</v>
      </c>
      <c r="AH53" s="19" t="n">
        <v>0</v>
      </c>
      <c r="AI53" s="19" t="n">
        <v>0.08</v>
      </c>
      <c r="AJ53" s="19" t="n">
        <v>0.22</v>
      </c>
      <c r="AK53" s="19" t="n">
        <v>0.13</v>
      </c>
      <c r="AL53" s="19" t="n">
        <v>0</v>
      </c>
      <c r="AM53" s="19" t="n">
        <v>0</v>
      </c>
      <c r="AN53" s="19" t="n">
        <v>0.08</v>
      </c>
      <c r="AO53" s="19" t="n">
        <v>0.17</v>
      </c>
      <c r="AP53" s="19" t="n">
        <v>0.08</v>
      </c>
      <c r="AQ53" s="19" t="n">
        <v>0</v>
      </c>
      <c r="AR53" s="19" t="n">
        <v>0</v>
      </c>
      <c r="AS53" s="19" t="n">
        <v>0</v>
      </c>
      <c r="AT53" s="19" t="n">
        <v>0</v>
      </c>
      <c r="AU53" s="19" t="n">
        <v>0</v>
      </c>
      <c r="AV53" s="19" t="n">
        <v>0.08</v>
      </c>
      <c r="AW53" s="19" t="n">
        <v>0.17</v>
      </c>
      <c r="AX53" s="19" t="n">
        <v>0.08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20" t="n">
        <f aca="false">SUM(D53:BC53)</f>
        <v>6.45</v>
      </c>
    </row>
    <row r="54" customFormat="false" ht="15" hidden="false" customHeight="false" outlineLevel="0" collapsed="false">
      <c r="A54" s="5" t="s">
        <v>229</v>
      </c>
      <c r="B54" s="5" t="s">
        <v>69</v>
      </c>
      <c r="C54" s="5" t="s">
        <v>179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0.18</v>
      </c>
      <c r="S54" s="19" t="n">
        <v>0.36</v>
      </c>
      <c r="T54" s="19" t="n">
        <v>0.27</v>
      </c>
      <c r="U54" s="19" t="n">
        <v>0.36</v>
      </c>
      <c r="V54" s="19" t="n">
        <v>0.45</v>
      </c>
      <c r="W54" s="19" t="n">
        <v>0.45</v>
      </c>
      <c r="X54" s="19" t="n">
        <v>1.08</v>
      </c>
      <c r="Y54" s="19" t="n">
        <v>1.36</v>
      </c>
      <c r="Z54" s="19" t="n">
        <v>0.54</v>
      </c>
      <c r="AA54" s="19" t="n">
        <v>0</v>
      </c>
      <c r="AB54" s="19" t="n">
        <v>0</v>
      </c>
      <c r="AC54" s="19" t="n">
        <v>0</v>
      </c>
      <c r="AD54" s="19" t="n">
        <v>0</v>
      </c>
      <c r="AE54" s="19" t="n">
        <v>0</v>
      </c>
      <c r="AF54" s="19" t="n">
        <v>0</v>
      </c>
      <c r="AG54" s="19" t="n">
        <v>0</v>
      </c>
      <c r="AH54" s="19" t="n">
        <v>0</v>
      </c>
      <c r="AI54" s="19" t="n">
        <v>0</v>
      </c>
      <c r="AJ54" s="19" t="n">
        <v>0</v>
      </c>
      <c r="AK54" s="19" t="n">
        <v>0</v>
      </c>
      <c r="AL54" s="19" t="n">
        <v>0</v>
      </c>
      <c r="AM54" s="19" t="n">
        <v>0</v>
      </c>
      <c r="AN54" s="19" t="n">
        <v>0</v>
      </c>
      <c r="AO54" s="19" t="n">
        <v>0</v>
      </c>
      <c r="AP54" s="19" t="n">
        <v>0</v>
      </c>
      <c r="AQ54" s="19" t="n">
        <v>0</v>
      </c>
      <c r="AR54" s="19" t="n">
        <v>0</v>
      </c>
      <c r="AS54" s="19" t="n">
        <v>0</v>
      </c>
      <c r="AT54" s="19" t="n">
        <v>0</v>
      </c>
      <c r="AU54" s="19" t="n">
        <v>0</v>
      </c>
      <c r="AV54" s="19" t="n">
        <v>0</v>
      </c>
      <c r="AW54" s="19" t="n">
        <v>0</v>
      </c>
      <c r="AX54" s="19" t="n">
        <v>0</v>
      </c>
      <c r="AY54" s="19" t="n">
        <v>0</v>
      </c>
      <c r="AZ54" s="19" t="n">
        <v>0</v>
      </c>
      <c r="BA54" s="19" t="n">
        <v>0</v>
      </c>
      <c r="BB54" s="19" t="n">
        <v>0</v>
      </c>
      <c r="BC54" s="19" t="n">
        <v>0</v>
      </c>
      <c r="BD54" s="20" t="n">
        <f aca="false">SUM(D54:BC54)</f>
        <v>5.05</v>
      </c>
    </row>
    <row r="55" customFormat="false" ht="15" hidden="false" customHeight="false" outlineLevel="0" collapsed="false">
      <c r="A55" s="5" t="s">
        <v>230</v>
      </c>
      <c r="B55" s="5" t="s">
        <v>62</v>
      </c>
      <c r="C55" s="5" t="s">
        <v>179</v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0.08</v>
      </c>
      <c r="P55" s="19" t="n">
        <v>0.16</v>
      </c>
      <c r="Q55" s="19" t="n">
        <v>0.08</v>
      </c>
      <c r="R55" s="19" t="n">
        <v>0.03</v>
      </c>
      <c r="S55" s="19" t="n">
        <v>0.07</v>
      </c>
      <c r="T55" s="19" t="n">
        <v>0.24</v>
      </c>
      <c r="U55" s="19" t="n">
        <v>0.54</v>
      </c>
      <c r="V55" s="19" t="n">
        <v>0.85</v>
      </c>
      <c r="W55" s="19" t="n">
        <v>0.9</v>
      </c>
      <c r="X55" s="19" t="n">
        <v>0.42</v>
      </c>
      <c r="Y55" s="19" t="n">
        <v>0.14</v>
      </c>
      <c r="Z55" s="19" t="n">
        <v>0.38</v>
      </c>
      <c r="AA55" s="19" t="n">
        <v>0.54</v>
      </c>
      <c r="AB55" s="19" t="n">
        <v>0.38</v>
      </c>
      <c r="AC55" s="19" t="n">
        <v>0.28</v>
      </c>
      <c r="AD55" s="19" t="n">
        <v>0.34</v>
      </c>
      <c r="AE55" s="19" t="n">
        <v>0.34</v>
      </c>
      <c r="AF55" s="19" t="n">
        <v>0.33</v>
      </c>
      <c r="AG55" s="19" t="n">
        <v>0.25</v>
      </c>
      <c r="AH55" s="19" t="n">
        <v>0.25</v>
      </c>
      <c r="AI55" s="19" t="n">
        <v>0.25</v>
      </c>
      <c r="AJ55" s="19" t="n">
        <v>0.08</v>
      </c>
      <c r="AK55" s="19" t="n">
        <v>0.08</v>
      </c>
      <c r="AL55" s="19" t="n">
        <v>0.17</v>
      </c>
      <c r="AM55" s="19" t="n">
        <v>0.08</v>
      </c>
      <c r="AN55" s="19" t="n">
        <v>0</v>
      </c>
      <c r="AO55" s="19" t="n">
        <v>0</v>
      </c>
      <c r="AP55" s="19" t="n">
        <v>0</v>
      </c>
      <c r="AQ55" s="19" t="n">
        <v>0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0</v>
      </c>
      <c r="AW55" s="19" t="n">
        <v>0</v>
      </c>
      <c r="AX55" s="19" t="n">
        <v>0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20" t="n">
        <f aca="false">SUM(D55:BC55)</f>
        <v>7.26</v>
      </c>
    </row>
    <row r="56" customFormat="false" ht="15" hidden="false" customHeight="false" outlineLevel="0" collapsed="false">
      <c r="A56" s="5" t="s">
        <v>231</v>
      </c>
      <c r="B56" s="5" t="s">
        <v>45</v>
      </c>
      <c r="C56" s="5" t="s">
        <v>179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0.06</v>
      </c>
      <c r="Q56" s="19" t="n">
        <v>0.23</v>
      </c>
      <c r="R56" s="19" t="n">
        <v>0.37</v>
      </c>
      <c r="S56" s="19" t="n">
        <v>0.29</v>
      </c>
      <c r="T56" s="19" t="n">
        <v>0.09</v>
      </c>
      <c r="U56" s="19" t="n">
        <v>0.08</v>
      </c>
      <c r="V56" s="19" t="n">
        <v>0.2</v>
      </c>
      <c r="W56" s="19" t="n">
        <v>0.41</v>
      </c>
      <c r="X56" s="19" t="n">
        <v>0.6</v>
      </c>
      <c r="Y56" s="19" t="n">
        <v>0.55</v>
      </c>
      <c r="Z56" s="19" t="n">
        <v>0.71</v>
      </c>
      <c r="AA56" s="19" t="n">
        <v>0.87</v>
      </c>
      <c r="AB56" s="19" t="n">
        <v>0.53</v>
      </c>
      <c r="AC56" s="19" t="n">
        <v>0.33</v>
      </c>
      <c r="AD56" s="19" t="n">
        <v>0.42</v>
      </c>
      <c r="AE56" s="19" t="n">
        <v>0.53</v>
      </c>
      <c r="AF56" s="19" t="n">
        <v>0.61</v>
      </c>
      <c r="AG56" s="19" t="n">
        <v>0.63</v>
      </c>
      <c r="AH56" s="19" t="n">
        <v>0.58</v>
      </c>
      <c r="AI56" s="19" t="n">
        <v>0.37</v>
      </c>
      <c r="AJ56" s="19" t="n">
        <v>0.23</v>
      </c>
      <c r="AK56" s="19" t="n">
        <v>0.2</v>
      </c>
      <c r="AL56" s="19" t="n">
        <v>0.17</v>
      </c>
      <c r="AM56" s="19" t="n">
        <v>0.08</v>
      </c>
      <c r="AN56" s="19" t="n">
        <v>0</v>
      </c>
      <c r="AO56" s="19" t="n">
        <v>0</v>
      </c>
      <c r="AP56" s="19" t="n">
        <v>0</v>
      </c>
      <c r="AQ56" s="19" t="n">
        <v>0.08</v>
      </c>
      <c r="AR56" s="19" t="n">
        <v>0.25</v>
      </c>
      <c r="AS56" s="19" t="n">
        <v>0.25</v>
      </c>
      <c r="AT56" s="19" t="n">
        <v>0.08</v>
      </c>
      <c r="AU56" s="19" t="n">
        <v>0</v>
      </c>
      <c r="AV56" s="19" t="n">
        <v>0.05</v>
      </c>
      <c r="AW56" s="19" t="n">
        <v>0.1</v>
      </c>
      <c r="AX56" s="19" t="n">
        <v>0.05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20" t="n">
        <f aca="false">SUM(D56:BC56)</f>
        <v>10</v>
      </c>
    </row>
    <row r="57" customFormat="false" ht="15" hidden="false" customHeight="false" outlineLevel="0" collapsed="false">
      <c r="A57" s="5" t="s">
        <v>232</v>
      </c>
      <c r="B57" s="5" t="s">
        <v>57</v>
      </c>
      <c r="C57" s="5" t="s">
        <v>179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0</v>
      </c>
      <c r="N57" s="19" t="n">
        <v>0.05</v>
      </c>
      <c r="O57" s="19" t="n">
        <v>0.09</v>
      </c>
      <c r="P57" s="19" t="n">
        <v>0.05</v>
      </c>
      <c r="Q57" s="19" t="n">
        <v>0</v>
      </c>
      <c r="R57" s="19" t="n">
        <v>0</v>
      </c>
      <c r="S57" s="19" t="n">
        <v>0</v>
      </c>
      <c r="T57" s="19" t="n">
        <v>0</v>
      </c>
      <c r="U57" s="19" t="n">
        <v>0</v>
      </c>
      <c r="V57" s="19" t="n">
        <v>0.16</v>
      </c>
      <c r="W57" s="19" t="n">
        <v>0.35</v>
      </c>
      <c r="X57" s="19" t="n">
        <v>0.5</v>
      </c>
      <c r="Y57" s="19" t="n">
        <v>0.58</v>
      </c>
      <c r="Z57" s="19" t="n">
        <v>0.43</v>
      </c>
      <c r="AA57" s="19" t="n">
        <v>0.32</v>
      </c>
      <c r="AB57" s="19" t="n">
        <v>0.27</v>
      </c>
      <c r="AC57" s="19" t="n">
        <v>0.23</v>
      </c>
      <c r="AD57" s="19" t="n">
        <v>0.19</v>
      </c>
      <c r="AE57" s="19" t="n">
        <v>0.27</v>
      </c>
      <c r="AF57" s="19" t="n">
        <v>0.31</v>
      </c>
      <c r="AG57" s="19" t="n">
        <v>0.18</v>
      </c>
      <c r="AH57" s="19" t="n">
        <v>0.13</v>
      </c>
      <c r="AI57" s="19" t="n">
        <v>0.07</v>
      </c>
      <c r="AJ57" s="19" t="n">
        <v>0</v>
      </c>
      <c r="AK57" s="19" t="n">
        <v>0</v>
      </c>
      <c r="AL57" s="19" t="n">
        <v>0</v>
      </c>
      <c r="AM57" s="19" t="n">
        <v>0</v>
      </c>
      <c r="AN57" s="19" t="n">
        <v>0</v>
      </c>
      <c r="AO57" s="19" t="n">
        <v>0</v>
      </c>
      <c r="AP57" s="19" t="n">
        <v>0.1</v>
      </c>
      <c r="AQ57" s="19" t="n">
        <v>0.28</v>
      </c>
      <c r="AR57" s="19" t="n">
        <v>0.27</v>
      </c>
      <c r="AS57" s="19" t="n">
        <v>0.08</v>
      </c>
      <c r="AT57" s="19" t="n">
        <v>0</v>
      </c>
      <c r="AU57" s="19" t="n">
        <v>0</v>
      </c>
      <c r="AV57" s="19" t="n">
        <v>0</v>
      </c>
      <c r="AW57" s="19" t="n">
        <v>0</v>
      </c>
      <c r="AX57" s="19" t="n">
        <v>0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20" t="n">
        <f aca="false">SUM(D57:BC57)</f>
        <v>4.91</v>
      </c>
    </row>
    <row r="58" customFormat="false" ht="15" hidden="false" customHeight="false" outlineLevel="0" collapsed="false">
      <c r="A58" s="5" t="s">
        <v>233</v>
      </c>
      <c r="B58" s="5" t="s">
        <v>63</v>
      </c>
      <c r="C58" s="5" t="s">
        <v>179</v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19" t="n">
        <v>0</v>
      </c>
      <c r="U58" s="19" t="n">
        <v>0.02</v>
      </c>
      <c r="V58" s="19" t="n">
        <v>0.07</v>
      </c>
      <c r="W58" s="19" t="n">
        <v>0.07</v>
      </c>
      <c r="X58" s="19" t="n">
        <v>0.02</v>
      </c>
      <c r="Y58" s="19" t="n">
        <v>0.02</v>
      </c>
      <c r="Z58" s="19" t="n">
        <v>0.05</v>
      </c>
      <c r="AA58" s="19" t="n">
        <v>0.1</v>
      </c>
      <c r="AB58" s="19" t="n">
        <v>0.21</v>
      </c>
      <c r="AC58" s="19" t="n">
        <v>0.27</v>
      </c>
      <c r="AD58" s="19" t="n">
        <v>0.21</v>
      </c>
      <c r="AE58" s="19" t="n">
        <v>0.08</v>
      </c>
      <c r="AF58" s="19" t="n">
        <v>0</v>
      </c>
      <c r="AG58" s="19" t="n">
        <v>0</v>
      </c>
      <c r="AH58" s="19" t="n">
        <v>0</v>
      </c>
      <c r="AI58" s="19" t="n">
        <v>0</v>
      </c>
      <c r="AJ58" s="19" t="n">
        <v>0</v>
      </c>
      <c r="AK58" s="19" t="n">
        <v>0</v>
      </c>
      <c r="AL58" s="19" t="n">
        <v>0</v>
      </c>
      <c r="AM58" s="19" t="n">
        <v>0</v>
      </c>
      <c r="AN58" s="19" t="n">
        <v>0</v>
      </c>
      <c r="AO58" s="19" t="n">
        <v>0</v>
      </c>
      <c r="AP58" s="19" t="n">
        <v>0</v>
      </c>
      <c r="AQ58" s="19" t="n">
        <v>0.05</v>
      </c>
      <c r="AR58" s="19" t="n">
        <v>0.1</v>
      </c>
      <c r="AS58" s="19" t="n">
        <v>0.05</v>
      </c>
      <c r="AT58" s="19" t="n">
        <v>0</v>
      </c>
      <c r="AU58" s="19" t="n">
        <v>0</v>
      </c>
      <c r="AV58" s="19" t="n">
        <v>0</v>
      </c>
      <c r="AW58" s="19" t="n">
        <v>0</v>
      </c>
      <c r="AX58" s="19" t="n">
        <v>0</v>
      </c>
      <c r="AY58" s="19" t="n">
        <v>0</v>
      </c>
      <c r="AZ58" s="19" t="n">
        <v>0</v>
      </c>
      <c r="BA58" s="19" t="n">
        <v>0</v>
      </c>
      <c r="BB58" s="19" t="n">
        <v>0</v>
      </c>
      <c r="BC58" s="19" t="n">
        <v>0</v>
      </c>
      <c r="BD58" s="20" t="n">
        <f aca="false">SUM(D58:BC58)</f>
        <v>1.32</v>
      </c>
    </row>
    <row r="59" customFormat="false" ht="15" hidden="false" customHeight="false" outlineLevel="0" collapsed="false">
      <c r="A59" s="5" t="s">
        <v>234</v>
      </c>
      <c r="B59" s="5" t="s">
        <v>57</v>
      </c>
      <c r="C59" s="5" t="s">
        <v>235</v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0.02</v>
      </c>
      <c r="N59" s="19" t="n">
        <v>0.04</v>
      </c>
      <c r="O59" s="19" t="n">
        <v>0.02</v>
      </c>
      <c r="P59" s="19" t="n">
        <v>0</v>
      </c>
      <c r="Q59" s="19" t="n">
        <v>0.18</v>
      </c>
      <c r="R59" s="19" t="n">
        <v>0.36</v>
      </c>
      <c r="S59" s="19" t="n">
        <v>0.18</v>
      </c>
      <c r="T59" s="19" t="n">
        <v>0.08</v>
      </c>
      <c r="U59" s="19" t="n">
        <v>1.21</v>
      </c>
      <c r="V59" s="19" t="n">
        <v>2.72</v>
      </c>
      <c r="W59" s="19" t="n">
        <v>2.42</v>
      </c>
      <c r="X59" s="19" t="n">
        <v>1.59</v>
      </c>
      <c r="Y59" s="19" t="n">
        <v>1.65</v>
      </c>
      <c r="Z59" s="19" t="n">
        <v>1.78</v>
      </c>
      <c r="AA59" s="19" t="n">
        <v>2.38</v>
      </c>
      <c r="AB59" s="19" t="n">
        <v>3.35</v>
      </c>
      <c r="AC59" s="19" t="n">
        <v>2.69</v>
      </c>
      <c r="AD59" s="19" t="n">
        <v>1.11</v>
      </c>
      <c r="AE59" s="19" t="n">
        <v>0.64</v>
      </c>
      <c r="AF59" s="19" t="n">
        <v>0.7</v>
      </c>
      <c r="AG59" s="19" t="n">
        <v>1.16</v>
      </c>
      <c r="AH59" s="19" t="n">
        <v>2.17</v>
      </c>
      <c r="AI59" s="19" t="n">
        <v>2.01</v>
      </c>
      <c r="AJ59" s="19" t="n">
        <v>0.67</v>
      </c>
      <c r="AK59" s="19" t="n">
        <v>0.5</v>
      </c>
      <c r="AL59" s="19" t="n">
        <v>1.07</v>
      </c>
      <c r="AM59" s="19" t="n">
        <v>0.65</v>
      </c>
      <c r="AN59" s="19" t="n">
        <v>0.07</v>
      </c>
      <c r="AO59" s="19" t="n">
        <v>0</v>
      </c>
      <c r="AP59" s="19" t="n">
        <v>0</v>
      </c>
      <c r="AQ59" s="19" t="n">
        <v>0</v>
      </c>
      <c r="AR59" s="19" t="n">
        <v>0</v>
      </c>
      <c r="AS59" s="19" t="n">
        <v>0</v>
      </c>
      <c r="AT59" s="19" t="n">
        <v>0</v>
      </c>
      <c r="AU59" s="19" t="n">
        <v>0</v>
      </c>
      <c r="AV59" s="19" t="n">
        <v>0</v>
      </c>
      <c r="AW59" s="19" t="n">
        <v>0</v>
      </c>
      <c r="AX59" s="19" t="n">
        <v>0</v>
      </c>
      <c r="AY59" s="19" t="n">
        <v>0</v>
      </c>
      <c r="AZ59" s="19" t="n">
        <v>0</v>
      </c>
      <c r="BA59" s="19" t="n">
        <v>0</v>
      </c>
      <c r="BB59" s="19" t="n">
        <v>0</v>
      </c>
      <c r="BC59" s="19" t="n">
        <v>0</v>
      </c>
      <c r="BD59" s="20" t="n">
        <f aca="false">SUM(D59:BC59)</f>
        <v>31.42</v>
      </c>
    </row>
    <row r="60" customFormat="false" ht="15" hidden="false" customHeight="false" outlineLevel="0" collapsed="false">
      <c r="A60" s="5" t="s">
        <v>236</v>
      </c>
      <c r="B60" s="5" t="s">
        <v>62</v>
      </c>
      <c r="C60" s="5" t="s">
        <v>179</v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0</v>
      </c>
      <c r="O60" s="19" t="n">
        <v>0.06</v>
      </c>
      <c r="P60" s="19" t="n">
        <v>0.11</v>
      </c>
      <c r="Q60" s="19" t="n">
        <v>0.64</v>
      </c>
      <c r="R60" s="19" t="n">
        <v>1.51</v>
      </c>
      <c r="S60" s="19" t="n">
        <v>1.46</v>
      </c>
      <c r="T60" s="19" t="n">
        <v>0.89</v>
      </c>
      <c r="U60" s="19" t="n">
        <v>1.05</v>
      </c>
      <c r="V60" s="19" t="n">
        <v>1.21</v>
      </c>
      <c r="W60" s="19" t="n">
        <v>0.52</v>
      </c>
      <c r="X60" s="19" t="n">
        <v>0.02</v>
      </c>
      <c r="Y60" s="19" t="n">
        <v>0.16</v>
      </c>
      <c r="Z60" s="19" t="n">
        <v>0.36</v>
      </c>
      <c r="AA60" s="19" t="n">
        <v>0.41</v>
      </c>
      <c r="AB60" s="19" t="n">
        <v>0.25</v>
      </c>
      <c r="AC60" s="19" t="n">
        <v>0.09</v>
      </c>
      <c r="AD60" s="19" t="n">
        <v>0.05</v>
      </c>
      <c r="AE60" s="19" t="n">
        <v>0.02</v>
      </c>
      <c r="AF60" s="19" t="n">
        <v>0</v>
      </c>
      <c r="AG60" s="19" t="n">
        <v>0</v>
      </c>
      <c r="AH60" s="19" t="n">
        <v>0</v>
      </c>
      <c r="AI60" s="19" t="n">
        <v>0</v>
      </c>
      <c r="AJ60" s="19" t="n">
        <v>0</v>
      </c>
      <c r="AK60" s="19" t="n">
        <v>0</v>
      </c>
      <c r="AL60" s="19" t="n">
        <v>0</v>
      </c>
      <c r="AM60" s="19" t="n">
        <v>0</v>
      </c>
      <c r="AN60" s="19" t="n">
        <v>0</v>
      </c>
      <c r="AO60" s="19" t="n">
        <v>0</v>
      </c>
      <c r="AP60" s="19" t="n">
        <v>0</v>
      </c>
      <c r="AQ60" s="19" t="n">
        <v>0</v>
      </c>
      <c r="AR60" s="19" t="n">
        <v>0</v>
      </c>
      <c r="AS60" s="19" t="n">
        <v>0</v>
      </c>
      <c r="AT60" s="19" t="n">
        <v>0</v>
      </c>
      <c r="AU60" s="19" t="n">
        <v>0.08</v>
      </c>
      <c r="AV60" s="19" t="n">
        <v>0.17</v>
      </c>
      <c r="AW60" s="19" t="n">
        <v>0.08</v>
      </c>
      <c r="AX60" s="19" t="n">
        <v>0</v>
      </c>
      <c r="AY60" s="19" t="n">
        <v>0</v>
      </c>
      <c r="AZ60" s="19" t="n">
        <v>0</v>
      </c>
      <c r="BA60" s="19" t="n">
        <v>0</v>
      </c>
      <c r="BB60" s="19" t="n">
        <v>0</v>
      </c>
      <c r="BC60" s="19" t="n">
        <v>0</v>
      </c>
      <c r="BD60" s="20" t="n">
        <f aca="false">SUM(D60:BC60)</f>
        <v>9.14</v>
      </c>
    </row>
    <row r="61" customFormat="false" ht="15" hidden="false" customHeight="false" outlineLevel="0" collapsed="false">
      <c r="A61" s="5" t="s">
        <v>237</v>
      </c>
      <c r="B61" s="5" t="s">
        <v>57</v>
      </c>
      <c r="C61" s="5" t="s">
        <v>179</v>
      </c>
      <c r="D61" s="19" t="n">
        <v>0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9" t="n">
        <v>0</v>
      </c>
      <c r="P61" s="19" t="n">
        <v>0</v>
      </c>
      <c r="Q61" s="19" t="n">
        <v>0</v>
      </c>
      <c r="R61" s="19" t="n">
        <v>0</v>
      </c>
      <c r="S61" s="19" t="n">
        <v>0</v>
      </c>
      <c r="T61" s="19" t="n">
        <v>0</v>
      </c>
      <c r="U61" s="19" t="n">
        <v>0</v>
      </c>
      <c r="V61" s="19" t="n">
        <v>0.23</v>
      </c>
      <c r="W61" s="19" t="n">
        <v>0.45</v>
      </c>
      <c r="X61" s="19" t="n">
        <v>0.23</v>
      </c>
      <c r="Y61" s="19" t="n">
        <v>0</v>
      </c>
      <c r="Z61" s="19" t="n">
        <v>0</v>
      </c>
      <c r="AA61" s="19" t="n">
        <v>0.09</v>
      </c>
      <c r="AB61" s="19" t="n">
        <v>0.18</v>
      </c>
      <c r="AC61" s="19" t="n">
        <v>0.09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20" t="n">
        <f aca="false">SUM(D61:BC61)</f>
        <v>1.27</v>
      </c>
    </row>
    <row r="62" customFormat="false" ht="15" hidden="false" customHeight="false" outlineLevel="0" collapsed="false">
      <c r="A62" s="5" t="s">
        <v>238</v>
      </c>
      <c r="B62" s="5" t="s">
        <v>69</v>
      </c>
      <c r="C62" s="5" t="s">
        <v>179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0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0.45</v>
      </c>
      <c r="Y62" s="19" t="n">
        <v>0.98</v>
      </c>
      <c r="Z62" s="19" t="n">
        <v>0.69</v>
      </c>
      <c r="AA62" s="19" t="n">
        <v>0.32</v>
      </c>
      <c r="AB62" s="19" t="n">
        <v>0.71</v>
      </c>
      <c r="AC62" s="19" t="n">
        <v>1.27</v>
      </c>
      <c r="AD62" s="19" t="n">
        <v>1.08</v>
      </c>
      <c r="AE62" s="19" t="n">
        <v>0.59</v>
      </c>
      <c r="AF62" s="19" t="n">
        <v>0.38</v>
      </c>
      <c r="AG62" s="19" t="n">
        <v>0.25</v>
      </c>
      <c r="AH62" s="19" t="n">
        <v>0.45</v>
      </c>
      <c r="AI62" s="19" t="n">
        <v>0.93</v>
      </c>
      <c r="AJ62" s="19" t="n">
        <v>0.76</v>
      </c>
      <c r="AK62" s="19" t="n">
        <v>0.45</v>
      </c>
      <c r="AL62" s="19" t="n">
        <v>0.58</v>
      </c>
      <c r="AM62" s="19" t="n">
        <v>0.61</v>
      </c>
      <c r="AN62" s="19" t="n">
        <v>0.4</v>
      </c>
      <c r="AO62" s="19" t="n">
        <v>0.03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20" t="n">
        <f aca="false">SUM(D62:BC62)</f>
        <v>10.93</v>
      </c>
    </row>
    <row r="63" customFormat="false" ht="15" hidden="false" customHeight="false" outlineLevel="0" collapsed="false">
      <c r="A63" s="5" t="s">
        <v>239</v>
      </c>
      <c r="B63" s="5" t="s">
        <v>62</v>
      </c>
      <c r="C63" s="5" t="s">
        <v>179</v>
      </c>
      <c r="D63" s="19" t="n">
        <v>0</v>
      </c>
      <c r="E63" s="19" t="n">
        <v>0</v>
      </c>
      <c r="F63" s="19" t="n">
        <v>0</v>
      </c>
      <c r="G63" s="19" t="n">
        <v>0</v>
      </c>
      <c r="H63" s="19" t="n">
        <v>0</v>
      </c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0</v>
      </c>
      <c r="O63" s="19" t="n">
        <v>0</v>
      </c>
      <c r="P63" s="19" t="n">
        <v>0</v>
      </c>
      <c r="Q63" s="19" t="n">
        <v>0</v>
      </c>
      <c r="R63" s="19" t="n">
        <v>0</v>
      </c>
      <c r="S63" s="19" t="n">
        <v>0</v>
      </c>
      <c r="T63" s="19" t="n">
        <v>0</v>
      </c>
      <c r="U63" s="19" t="n">
        <v>0</v>
      </c>
      <c r="V63" s="19" t="n">
        <v>0.03</v>
      </c>
      <c r="W63" s="19" t="n">
        <v>0.16</v>
      </c>
      <c r="X63" s="19" t="n">
        <v>0.38</v>
      </c>
      <c r="Y63" s="19" t="n">
        <v>0.43</v>
      </c>
      <c r="Z63" s="19" t="n">
        <v>0.17</v>
      </c>
      <c r="AA63" s="19" t="n">
        <v>0.16</v>
      </c>
      <c r="AB63" s="19" t="n">
        <v>0.32</v>
      </c>
      <c r="AC63" s="19" t="n">
        <v>0.32</v>
      </c>
      <c r="AD63" s="19" t="n">
        <v>0.32</v>
      </c>
      <c r="AE63" s="19" t="n">
        <v>0.51</v>
      </c>
      <c r="AF63" s="19" t="n">
        <v>0.7</v>
      </c>
      <c r="AG63" s="19" t="n">
        <v>0.35</v>
      </c>
      <c r="AH63" s="19" t="n">
        <v>0</v>
      </c>
      <c r="AI63" s="19" t="n">
        <v>0</v>
      </c>
      <c r="AJ63" s="19" t="n">
        <v>0.12</v>
      </c>
      <c r="AK63" s="19" t="n">
        <v>0.28</v>
      </c>
      <c r="AL63" s="19" t="n">
        <v>0.22</v>
      </c>
      <c r="AM63" s="19" t="n">
        <v>0.05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20" t="n">
        <f aca="false">SUM(D63:BC63)</f>
        <v>4.52</v>
      </c>
    </row>
    <row r="64" customFormat="false" ht="15" hidden="false" customHeight="false" outlineLevel="0" collapsed="false">
      <c r="A64" s="5" t="s">
        <v>240</v>
      </c>
      <c r="B64" s="5" t="s">
        <v>69</v>
      </c>
      <c r="C64" s="5" t="s">
        <v>179</v>
      </c>
      <c r="D64" s="19" t="n">
        <v>0</v>
      </c>
      <c r="E64" s="19" t="n">
        <v>0</v>
      </c>
      <c r="F64" s="19" t="n">
        <v>0</v>
      </c>
      <c r="G64" s="19" t="n">
        <v>0</v>
      </c>
      <c r="H64" s="19" t="n">
        <v>0</v>
      </c>
      <c r="I64" s="19" t="n">
        <v>0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  <c r="O64" s="19" t="n">
        <v>0</v>
      </c>
      <c r="P64" s="19" t="n">
        <v>0</v>
      </c>
      <c r="Q64" s="19" t="n">
        <v>0</v>
      </c>
      <c r="R64" s="19" t="n">
        <v>0</v>
      </c>
      <c r="S64" s="19" t="n">
        <v>0</v>
      </c>
      <c r="T64" s="19" t="n">
        <v>0.06</v>
      </c>
      <c r="U64" s="19" t="n">
        <v>0.11</v>
      </c>
      <c r="V64" s="19" t="n">
        <v>0.14</v>
      </c>
      <c r="W64" s="19" t="n">
        <v>0.24</v>
      </c>
      <c r="X64" s="19" t="n">
        <v>0.32</v>
      </c>
      <c r="Y64" s="19" t="n">
        <v>0.32</v>
      </c>
      <c r="Z64" s="19" t="n">
        <v>0.24</v>
      </c>
      <c r="AA64" s="19" t="n">
        <v>0.08</v>
      </c>
      <c r="AB64" s="19" t="n">
        <v>0.16</v>
      </c>
      <c r="AC64" s="19" t="n">
        <v>0.32</v>
      </c>
      <c r="AD64" s="19" t="n">
        <v>0.16</v>
      </c>
      <c r="AE64" s="19" t="n">
        <v>0</v>
      </c>
      <c r="AF64" s="19" t="n">
        <v>0</v>
      </c>
      <c r="AG64" s="19" t="n">
        <v>0</v>
      </c>
      <c r="AH64" s="19" t="n">
        <v>0.12</v>
      </c>
      <c r="AI64" s="19" t="n">
        <v>0.23</v>
      </c>
      <c r="AJ64" s="19" t="n">
        <v>0.12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0.08</v>
      </c>
      <c r="AW64" s="19" t="n">
        <v>0.17</v>
      </c>
      <c r="AX64" s="19" t="n">
        <v>0.08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20" t="n">
        <f aca="false">SUM(D64:BC64)</f>
        <v>2.95</v>
      </c>
    </row>
    <row r="65" customFormat="false" ht="15" hidden="false" customHeight="false" outlineLevel="0" collapsed="false">
      <c r="A65" s="5" t="s">
        <v>241</v>
      </c>
      <c r="B65" s="5" t="s">
        <v>62</v>
      </c>
      <c r="C65" s="5" t="s">
        <v>179</v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  <c r="O65" s="19" t="n">
        <v>0.08</v>
      </c>
      <c r="P65" s="19" t="n">
        <v>0.16</v>
      </c>
      <c r="Q65" s="19" t="n">
        <v>0.17</v>
      </c>
      <c r="R65" s="19" t="n">
        <v>0.18</v>
      </c>
      <c r="S65" s="19" t="n">
        <v>0.09</v>
      </c>
      <c r="T65" s="19" t="n">
        <v>0</v>
      </c>
      <c r="U65" s="19" t="n">
        <v>0.08</v>
      </c>
      <c r="V65" s="19" t="n">
        <v>0.32</v>
      </c>
      <c r="W65" s="19" t="n">
        <v>0.4</v>
      </c>
      <c r="X65" s="19" t="n">
        <v>0.16</v>
      </c>
      <c r="Y65" s="19" t="n">
        <v>0.08</v>
      </c>
      <c r="Z65" s="19" t="n">
        <v>0.41</v>
      </c>
      <c r="AA65" s="19" t="n">
        <v>0.66</v>
      </c>
      <c r="AB65" s="19" t="n">
        <v>0.67</v>
      </c>
      <c r="AC65" s="19" t="n">
        <v>0.84</v>
      </c>
      <c r="AD65" s="19" t="n">
        <v>0.82</v>
      </c>
      <c r="AE65" s="19" t="n">
        <v>0.77</v>
      </c>
      <c r="AF65" s="19" t="n">
        <v>0.9</v>
      </c>
      <c r="AG65" s="19" t="n">
        <v>0.58</v>
      </c>
      <c r="AH65" s="19" t="n">
        <v>0.35</v>
      </c>
      <c r="AI65" s="19" t="n">
        <v>0.58</v>
      </c>
      <c r="AJ65" s="19" t="n">
        <v>0.47</v>
      </c>
      <c r="AK65" s="19" t="n">
        <v>0.12</v>
      </c>
      <c r="AL65" s="19" t="n">
        <v>0.12</v>
      </c>
      <c r="AM65" s="19" t="n">
        <v>0.23</v>
      </c>
      <c r="AN65" s="19" t="n">
        <v>0.12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20" t="n">
        <f aca="false">SUM(D65:BC65)</f>
        <v>9.36</v>
      </c>
    </row>
    <row r="66" customFormat="false" ht="15" hidden="false" customHeight="false" outlineLevel="0" collapsed="false">
      <c r="A66" s="5" t="s">
        <v>242</v>
      </c>
      <c r="B66" s="5" t="s">
        <v>62</v>
      </c>
      <c r="C66" s="5" t="s">
        <v>179</v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  <c r="O66" s="19" t="n">
        <v>0</v>
      </c>
      <c r="P66" s="19" t="n">
        <v>0</v>
      </c>
      <c r="Q66" s="19" t="n">
        <v>0</v>
      </c>
      <c r="R66" s="19" t="n">
        <v>0</v>
      </c>
      <c r="S66" s="19" t="n">
        <v>0</v>
      </c>
      <c r="T66" s="19" t="n">
        <v>0.06</v>
      </c>
      <c r="U66" s="19" t="n">
        <v>0.11</v>
      </c>
      <c r="V66" s="19" t="n">
        <v>0.06</v>
      </c>
      <c r="W66" s="19" t="n">
        <v>0</v>
      </c>
      <c r="X66" s="19" t="n">
        <v>0</v>
      </c>
      <c r="Y66" s="19" t="n">
        <v>0.06</v>
      </c>
      <c r="Z66" s="19" t="n">
        <v>0.11</v>
      </c>
      <c r="AA66" s="19" t="n">
        <v>0.06</v>
      </c>
      <c r="AB66" s="19" t="n">
        <v>0.06</v>
      </c>
      <c r="AC66" s="19" t="n">
        <v>0.2</v>
      </c>
      <c r="AD66" s="19" t="n">
        <v>0.24</v>
      </c>
      <c r="AE66" s="19" t="n">
        <v>0.09</v>
      </c>
      <c r="AF66" s="19" t="n">
        <v>0</v>
      </c>
      <c r="AG66" s="19" t="n">
        <v>0.03</v>
      </c>
      <c r="AH66" s="19" t="n">
        <v>0.07</v>
      </c>
      <c r="AI66" s="19" t="n">
        <v>0.03</v>
      </c>
      <c r="AJ66" s="19" t="n">
        <v>0.08</v>
      </c>
      <c r="AK66" s="19" t="n">
        <v>0.2</v>
      </c>
      <c r="AL66" s="19" t="n">
        <v>0.15</v>
      </c>
      <c r="AM66" s="19" t="n">
        <v>0.03</v>
      </c>
      <c r="AN66" s="19" t="n">
        <v>0</v>
      </c>
      <c r="AO66" s="19" t="n">
        <v>0</v>
      </c>
      <c r="AP66" s="19" t="n">
        <v>0</v>
      </c>
      <c r="AQ66" s="19" t="n">
        <v>0</v>
      </c>
      <c r="AR66" s="19" t="n">
        <v>0</v>
      </c>
      <c r="AS66" s="19" t="n">
        <v>0</v>
      </c>
      <c r="AT66" s="19" t="n">
        <v>0</v>
      </c>
      <c r="AU66" s="19" t="n">
        <v>0</v>
      </c>
      <c r="AV66" s="19" t="n">
        <v>0</v>
      </c>
      <c r="AW66" s="19" t="n">
        <v>0</v>
      </c>
      <c r="AX66" s="19" t="n">
        <v>0</v>
      </c>
      <c r="AY66" s="19" t="n">
        <v>0</v>
      </c>
      <c r="AZ66" s="19" t="n">
        <v>0</v>
      </c>
      <c r="BA66" s="19" t="n">
        <v>0</v>
      </c>
      <c r="BB66" s="19" t="n">
        <v>0</v>
      </c>
      <c r="BC66" s="19" t="n">
        <v>0</v>
      </c>
      <c r="BD66" s="20" t="n">
        <f aca="false">SUM(D66:BC66)</f>
        <v>1.64</v>
      </c>
    </row>
    <row r="67" customFormat="false" ht="15" hidden="false" customHeight="false" outlineLevel="0" collapsed="false">
      <c r="A67" s="5" t="s">
        <v>243</v>
      </c>
      <c r="B67" s="5" t="s">
        <v>62</v>
      </c>
      <c r="C67" s="5" t="s">
        <v>179</v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19" t="n">
        <v>0</v>
      </c>
      <c r="R67" s="19" t="n">
        <v>0</v>
      </c>
      <c r="S67" s="19" t="n">
        <v>0</v>
      </c>
      <c r="T67" s="19" t="n">
        <v>0</v>
      </c>
      <c r="U67" s="19" t="n">
        <v>0</v>
      </c>
      <c r="V67" s="19" t="n">
        <v>0.06</v>
      </c>
      <c r="W67" s="19" t="n">
        <v>0.17</v>
      </c>
      <c r="X67" s="19" t="n">
        <v>0.34</v>
      </c>
      <c r="Y67" s="19" t="n">
        <v>0.68</v>
      </c>
      <c r="Z67" s="19" t="n">
        <v>0.9</v>
      </c>
      <c r="AA67" s="19" t="n">
        <v>0.73</v>
      </c>
      <c r="AB67" s="19" t="n">
        <v>0.68</v>
      </c>
      <c r="AC67" s="19" t="n">
        <v>0.73</v>
      </c>
      <c r="AD67" s="19" t="n">
        <v>0.4</v>
      </c>
      <c r="AE67" s="19" t="n">
        <v>0.06</v>
      </c>
      <c r="AF67" s="19" t="n">
        <v>0</v>
      </c>
      <c r="AG67" s="19" t="n">
        <v>0</v>
      </c>
      <c r="AH67" s="19" t="n">
        <v>0</v>
      </c>
      <c r="AI67" s="19" t="n">
        <v>0</v>
      </c>
      <c r="AJ67" s="19" t="n">
        <v>0</v>
      </c>
      <c r="AK67" s="19" t="n">
        <v>0</v>
      </c>
      <c r="AL67" s="19" t="n">
        <v>0</v>
      </c>
      <c r="AM67" s="19" t="n">
        <v>0</v>
      </c>
      <c r="AN67" s="19" t="n">
        <v>0</v>
      </c>
      <c r="AO67" s="19" t="n">
        <v>0</v>
      </c>
      <c r="AP67" s="19" t="n">
        <v>0.08</v>
      </c>
      <c r="AQ67" s="19" t="n">
        <v>0.17</v>
      </c>
      <c r="AR67" s="19" t="n">
        <v>0.08</v>
      </c>
      <c r="AS67" s="19" t="n">
        <v>0</v>
      </c>
      <c r="AT67" s="19" t="n">
        <v>0</v>
      </c>
      <c r="AU67" s="19" t="n">
        <v>0</v>
      </c>
      <c r="AV67" s="19" t="n">
        <v>0</v>
      </c>
      <c r="AW67" s="19" t="n">
        <v>0</v>
      </c>
      <c r="AX67" s="19" t="n">
        <v>0</v>
      </c>
      <c r="AY67" s="19" t="n">
        <v>0</v>
      </c>
      <c r="AZ67" s="19" t="n">
        <v>0</v>
      </c>
      <c r="BA67" s="19" t="n">
        <v>0</v>
      </c>
      <c r="BB67" s="19" t="n">
        <v>0</v>
      </c>
      <c r="BC67" s="19" t="n">
        <v>0</v>
      </c>
      <c r="BD67" s="20" t="n">
        <f aca="false">SUM(D67:BC67)</f>
        <v>5.08</v>
      </c>
    </row>
    <row r="68" customFormat="false" ht="15" hidden="false" customHeight="false" outlineLevel="0" collapsed="false">
      <c r="A68" s="5" t="s">
        <v>244</v>
      </c>
      <c r="B68" s="5" t="s">
        <v>45</v>
      </c>
      <c r="C68" s="5" t="s">
        <v>179</v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0.06</v>
      </c>
      <c r="O68" s="19" t="n">
        <v>0.24</v>
      </c>
      <c r="P68" s="19" t="n">
        <v>0.31</v>
      </c>
      <c r="Q68" s="19" t="n">
        <v>0.12</v>
      </c>
      <c r="R68" s="19" t="n">
        <v>0</v>
      </c>
      <c r="S68" s="19" t="n">
        <v>0.08</v>
      </c>
      <c r="T68" s="19" t="n">
        <v>0.16</v>
      </c>
      <c r="U68" s="19" t="n">
        <v>0.17</v>
      </c>
      <c r="V68" s="19" t="n">
        <v>0.18</v>
      </c>
      <c r="W68" s="19" t="n">
        <v>0.2</v>
      </c>
      <c r="X68" s="19" t="n">
        <v>0.35</v>
      </c>
      <c r="Y68" s="19" t="n">
        <v>0.53</v>
      </c>
      <c r="Z68" s="19" t="n">
        <v>0.46</v>
      </c>
      <c r="AA68" s="19" t="n">
        <v>0.17</v>
      </c>
      <c r="AB68" s="19" t="n">
        <v>0.06</v>
      </c>
      <c r="AC68" s="19" t="n">
        <v>0.11</v>
      </c>
      <c r="AD68" s="19" t="n">
        <v>0.06</v>
      </c>
      <c r="AE68" s="19" t="n">
        <v>0.1</v>
      </c>
      <c r="AF68" s="19" t="n">
        <v>0.28</v>
      </c>
      <c r="AG68" s="19" t="n">
        <v>0.32</v>
      </c>
      <c r="AH68" s="19" t="n">
        <v>0.27</v>
      </c>
      <c r="AI68" s="19" t="n">
        <v>0.3</v>
      </c>
      <c r="AJ68" s="19" t="n">
        <v>0.25</v>
      </c>
      <c r="AK68" s="19" t="n">
        <v>0.28</v>
      </c>
      <c r="AL68" s="19" t="n">
        <v>0.4</v>
      </c>
      <c r="AM68" s="19" t="n">
        <v>0.2</v>
      </c>
      <c r="AN68" s="19" t="n">
        <v>0</v>
      </c>
      <c r="AO68" s="19" t="n">
        <v>0</v>
      </c>
      <c r="AP68" s="19" t="n">
        <v>0.05</v>
      </c>
      <c r="AQ68" s="19" t="n">
        <v>0.1</v>
      </c>
      <c r="AR68" s="19" t="n">
        <v>0.05</v>
      </c>
      <c r="AS68" s="19" t="n">
        <v>0</v>
      </c>
      <c r="AT68" s="19" t="n">
        <v>0</v>
      </c>
      <c r="AU68" s="19" t="n">
        <v>0</v>
      </c>
      <c r="AV68" s="19" t="n">
        <v>0</v>
      </c>
      <c r="AW68" s="19" t="n">
        <v>0</v>
      </c>
      <c r="AX68" s="19" t="n">
        <v>0</v>
      </c>
      <c r="AY68" s="19" t="n">
        <v>0</v>
      </c>
      <c r="AZ68" s="19" t="n">
        <v>0</v>
      </c>
      <c r="BA68" s="19" t="n">
        <v>0</v>
      </c>
      <c r="BB68" s="19" t="n">
        <v>0</v>
      </c>
      <c r="BC68" s="19" t="n">
        <v>0</v>
      </c>
      <c r="BD68" s="20" t="n">
        <f aca="false">SUM(D68:BC68)</f>
        <v>5.86</v>
      </c>
    </row>
    <row r="69" customFormat="false" ht="15" hidden="false" customHeight="false" outlineLevel="0" collapsed="false">
      <c r="A69" s="5" t="s">
        <v>245</v>
      </c>
      <c r="B69" s="5" t="s">
        <v>62</v>
      </c>
      <c r="C69" s="5" t="s">
        <v>179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  <c r="S69" s="19" t="n">
        <v>0</v>
      </c>
      <c r="T69" s="19" t="n">
        <v>0</v>
      </c>
      <c r="U69" s="19" t="n">
        <v>0</v>
      </c>
      <c r="V69" s="19" t="n">
        <v>0</v>
      </c>
      <c r="W69" s="19" t="n">
        <v>0.06</v>
      </c>
      <c r="X69" s="19" t="n">
        <v>0.11</v>
      </c>
      <c r="Y69" s="19" t="n">
        <v>0.06</v>
      </c>
      <c r="Z69" s="19" t="n">
        <v>0</v>
      </c>
      <c r="AA69" s="19" t="n">
        <v>0</v>
      </c>
      <c r="AB69" s="19" t="n">
        <v>0.11</v>
      </c>
      <c r="AC69" s="19" t="n">
        <v>0.28</v>
      </c>
      <c r="AD69" s="19" t="n">
        <v>0.34</v>
      </c>
      <c r="AE69" s="19" t="n">
        <v>0.61</v>
      </c>
      <c r="AF69" s="19" t="n">
        <v>0.86</v>
      </c>
      <c r="AG69" s="19" t="n">
        <v>0.66</v>
      </c>
      <c r="AH69" s="19" t="n">
        <v>0.5</v>
      </c>
      <c r="AI69" s="19" t="n">
        <v>0.42</v>
      </c>
      <c r="AJ69" s="19" t="n">
        <v>0.25</v>
      </c>
      <c r="AK69" s="19" t="n">
        <v>0.17</v>
      </c>
      <c r="AL69" s="19" t="n">
        <v>0.17</v>
      </c>
      <c r="AM69" s="19" t="n">
        <v>0</v>
      </c>
      <c r="AN69" s="19" t="n">
        <v>0</v>
      </c>
      <c r="AO69" s="19" t="n">
        <v>0</v>
      </c>
      <c r="AP69" s="19" t="n">
        <v>0</v>
      </c>
      <c r="AQ69" s="19" t="n">
        <v>0</v>
      </c>
      <c r="AR69" s="19" t="n">
        <v>0</v>
      </c>
      <c r="AS69" s="19" t="n">
        <v>0</v>
      </c>
      <c r="AT69" s="19" t="n">
        <v>0</v>
      </c>
      <c r="AU69" s="19" t="n">
        <v>0</v>
      </c>
      <c r="AV69" s="19" t="n">
        <v>0</v>
      </c>
      <c r="AW69" s="19" t="n">
        <v>0</v>
      </c>
      <c r="AX69" s="19" t="n">
        <v>0</v>
      </c>
      <c r="AY69" s="19" t="n">
        <v>0</v>
      </c>
      <c r="AZ69" s="19" t="n">
        <v>0</v>
      </c>
      <c r="BA69" s="19" t="n">
        <v>0</v>
      </c>
      <c r="BB69" s="19" t="n">
        <v>0</v>
      </c>
      <c r="BC69" s="19" t="n">
        <v>0</v>
      </c>
      <c r="BD69" s="20" t="n">
        <f aca="false">SUM(D69:BC69)</f>
        <v>4.6</v>
      </c>
    </row>
    <row r="70" customFormat="false" ht="15" hidden="false" customHeight="false" outlineLevel="0" collapsed="false">
      <c r="A70" s="5" t="s">
        <v>246</v>
      </c>
      <c r="B70" s="5" t="s">
        <v>69</v>
      </c>
      <c r="C70" s="5" t="s">
        <v>179</v>
      </c>
      <c r="D70" s="19" t="n">
        <v>0</v>
      </c>
      <c r="E70" s="19" t="n">
        <v>0</v>
      </c>
      <c r="F70" s="19" t="n">
        <v>0</v>
      </c>
      <c r="G70" s="19" t="n">
        <v>0</v>
      </c>
      <c r="H70" s="19" t="n">
        <v>0</v>
      </c>
      <c r="I70" s="19" t="n">
        <v>0</v>
      </c>
      <c r="J70" s="19" t="n">
        <v>0</v>
      </c>
      <c r="K70" s="19" t="n">
        <v>0</v>
      </c>
      <c r="L70" s="19" t="n">
        <v>0</v>
      </c>
      <c r="M70" s="19" t="n">
        <v>0</v>
      </c>
      <c r="N70" s="19" t="n">
        <v>0</v>
      </c>
      <c r="O70" s="19" t="n">
        <v>0</v>
      </c>
      <c r="P70" s="19" t="n">
        <v>0</v>
      </c>
      <c r="Q70" s="19" t="n">
        <v>0</v>
      </c>
      <c r="R70" s="19" t="n">
        <v>0</v>
      </c>
      <c r="S70" s="19" t="n">
        <v>0</v>
      </c>
      <c r="T70" s="19" t="n">
        <v>0</v>
      </c>
      <c r="U70" s="19" t="n">
        <v>0</v>
      </c>
      <c r="V70" s="19" t="n">
        <v>0</v>
      </c>
      <c r="W70" s="19" t="n">
        <v>0</v>
      </c>
      <c r="X70" s="19" t="n">
        <v>0</v>
      </c>
      <c r="Y70" s="19" t="n">
        <v>0</v>
      </c>
      <c r="Z70" s="19" t="n">
        <v>0</v>
      </c>
      <c r="AA70" s="19" t="n">
        <v>0</v>
      </c>
      <c r="AB70" s="19" t="n">
        <v>0</v>
      </c>
      <c r="AC70" s="19" t="n">
        <v>0</v>
      </c>
      <c r="AD70" s="19" t="n">
        <v>0</v>
      </c>
      <c r="AE70" s="19" t="n">
        <v>0</v>
      </c>
      <c r="AF70" s="19" t="n">
        <v>0</v>
      </c>
      <c r="AG70" s="19" t="n">
        <v>0.23</v>
      </c>
      <c r="AH70" s="19" t="n">
        <v>0.47</v>
      </c>
      <c r="AI70" s="19" t="n">
        <v>0.23</v>
      </c>
      <c r="AJ70" s="19" t="n">
        <v>0</v>
      </c>
      <c r="AK70" s="19" t="n">
        <v>0</v>
      </c>
      <c r="AL70" s="19" t="n">
        <v>0</v>
      </c>
      <c r="AM70" s="19" t="n">
        <v>0</v>
      </c>
      <c r="AN70" s="19" t="n">
        <v>0</v>
      </c>
      <c r="AO70" s="19" t="n">
        <v>0</v>
      </c>
      <c r="AP70" s="19" t="n">
        <v>0</v>
      </c>
      <c r="AQ70" s="19" t="n">
        <v>0</v>
      </c>
      <c r="AR70" s="19" t="n">
        <v>0</v>
      </c>
      <c r="AS70" s="19" t="n">
        <v>0</v>
      </c>
      <c r="AT70" s="19" t="n">
        <v>0</v>
      </c>
      <c r="AU70" s="19" t="n">
        <v>0</v>
      </c>
      <c r="AV70" s="19" t="n">
        <v>0</v>
      </c>
      <c r="AW70" s="19" t="n">
        <v>0</v>
      </c>
      <c r="AX70" s="19" t="n">
        <v>0</v>
      </c>
      <c r="AY70" s="19" t="n">
        <v>0</v>
      </c>
      <c r="AZ70" s="19" t="n">
        <v>0</v>
      </c>
      <c r="BA70" s="19" t="n">
        <v>0</v>
      </c>
      <c r="BB70" s="19" t="n">
        <v>0</v>
      </c>
      <c r="BC70" s="19" t="n">
        <v>0</v>
      </c>
      <c r="BD70" s="20" t="n">
        <f aca="false">SUM(D70:BC70)</f>
        <v>0.93</v>
      </c>
    </row>
    <row r="71" customFormat="false" ht="15" hidden="false" customHeight="false" outlineLevel="0" collapsed="false">
      <c r="A71" s="5" t="s">
        <v>247</v>
      </c>
      <c r="B71" s="5" t="s">
        <v>64</v>
      </c>
      <c r="C71" s="5" t="s">
        <v>179</v>
      </c>
      <c r="D71" s="19" t="n">
        <v>0</v>
      </c>
      <c r="E71" s="19" t="n">
        <v>0</v>
      </c>
      <c r="F71" s="19" t="n">
        <v>0</v>
      </c>
      <c r="G71" s="19" t="n">
        <v>0.08</v>
      </c>
      <c r="H71" s="19" t="n">
        <v>0.16</v>
      </c>
      <c r="I71" s="19" t="n">
        <v>0.08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  <c r="Q71" s="19" t="n">
        <v>0.06</v>
      </c>
      <c r="R71" s="19" t="n">
        <v>0.11</v>
      </c>
      <c r="S71" s="19" t="n">
        <v>0.06</v>
      </c>
      <c r="T71" s="19" t="n">
        <v>0.54</v>
      </c>
      <c r="U71" s="19" t="n">
        <v>1.08</v>
      </c>
      <c r="V71" s="19" t="n">
        <v>0.54</v>
      </c>
      <c r="W71" s="19" t="n">
        <v>0</v>
      </c>
      <c r="X71" s="19" t="n">
        <v>0</v>
      </c>
      <c r="Y71" s="19" t="n">
        <v>0.06</v>
      </c>
      <c r="Z71" s="19" t="n">
        <v>0.17</v>
      </c>
      <c r="AA71" s="19" t="n">
        <v>0.26</v>
      </c>
      <c r="AB71" s="19" t="n">
        <v>0.24</v>
      </c>
      <c r="AC71" s="19" t="n">
        <v>0.09</v>
      </c>
      <c r="AD71" s="19" t="n">
        <v>0.06</v>
      </c>
      <c r="AE71" s="19" t="n">
        <v>0.11</v>
      </c>
      <c r="AF71" s="19" t="n">
        <v>0.06</v>
      </c>
      <c r="AG71" s="19" t="n">
        <v>0</v>
      </c>
      <c r="AH71" s="19" t="n">
        <v>0</v>
      </c>
      <c r="AI71" s="19" t="n">
        <v>0</v>
      </c>
      <c r="AJ71" s="19" t="n">
        <v>0</v>
      </c>
      <c r="AK71" s="19" t="n">
        <v>0</v>
      </c>
      <c r="AL71" s="19" t="n">
        <v>0</v>
      </c>
      <c r="AM71" s="19" t="n">
        <v>0</v>
      </c>
      <c r="AN71" s="19" t="n">
        <v>0</v>
      </c>
      <c r="AO71" s="19" t="n">
        <v>0</v>
      </c>
      <c r="AP71" s="19" t="n">
        <v>0</v>
      </c>
      <c r="AQ71" s="19" t="n">
        <v>0</v>
      </c>
      <c r="AR71" s="19" t="n">
        <v>0</v>
      </c>
      <c r="AS71" s="19" t="n">
        <v>0</v>
      </c>
      <c r="AT71" s="19" t="n">
        <v>0</v>
      </c>
      <c r="AU71" s="19" t="n">
        <v>0</v>
      </c>
      <c r="AV71" s="19" t="n">
        <v>0</v>
      </c>
      <c r="AW71" s="19" t="n">
        <v>0</v>
      </c>
      <c r="AX71" s="19" t="n">
        <v>0</v>
      </c>
      <c r="AY71" s="19" t="n">
        <v>0</v>
      </c>
      <c r="AZ71" s="19" t="n">
        <v>0</v>
      </c>
      <c r="BA71" s="19" t="n">
        <v>0</v>
      </c>
      <c r="BB71" s="19" t="n">
        <v>0</v>
      </c>
      <c r="BC71" s="19" t="n">
        <v>0</v>
      </c>
      <c r="BD71" s="20" t="n">
        <f aca="false">SUM(D71:BC71)</f>
        <v>3.76</v>
      </c>
    </row>
    <row r="72" customFormat="false" ht="15" hidden="false" customHeight="false" outlineLevel="0" collapsed="false">
      <c r="A72" s="5" t="s">
        <v>248</v>
      </c>
      <c r="B72" s="5" t="s">
        <v>45</v>
      </c>
      <c r="C72" s="5" t="s">
        <v>179</v>
      </c>
      <c r="D72" s="19" t="n">
        <v>0</v>
      </c>
      <c r="E72" s="19" t="n">
        <v>0</v>
      </c>
      <c r="F72" s="19" t="n">
        <v>0</v>
      </c>
      <c r="G72" s="19" t="n">
        <v>0</v>
      </c>
      <c r="H72" s="19" t="n">
        <v>0</v>
      </c>
      <c r="I72" s="19" t="n">
        <v>0</v>
      </c>
      <c r="J72" s="19" t="n">
        <v>0</v>
      </c>
      <c r="K72" s="19" t="n">
        <v>0</v>
      </c>
      <c r="L72" s="19" t="n">
        <v>0</v>
      </c>
      <c r="M72" s="19" t="n">
        <v>0</v>
      </c>
      <c r="N72" s="19" t="n">
        <v>0</v>
      </c>
      <c r="O72" s="19" t="n">
        <v>0</v>
      </c>
      <c r="P72" s="19" t="n">
        <v>0</v>
      </c>
      <c r="Q72" s="19" t="n">
        <v>0</v>
      </c>
      <c r="R72" s="19" t="n">
        <v>0.02</v>
      </c>
      <c r="S72" s="19" t="n">
        <v>0.05</v>
      </c>
      <c r="T72" s="19" t="n">
        <v>0.07</v>
      </c>
      <c r="U72" s="19" t="n">
        <v>0.18</v>
      </c>
      <c r="V72" s="19" t="n">
        <v>0.32</v>
      </c>
      <c r="W72" s="19" t="n">
        <v>0.38</v>
      </c>
      <c r="X72" s="19" t="n">
        <v>0.46</v>
      </c>
      <c r="Y72" s="19" t="n">
        <v>0.43</v>
      </c>
      <c r="Z72" s="19" t="n">
        <v>0.41</v>
      </c>
      <c r="AA72" s="19" t="n">
        <v>0.73</v>
      </c>
      <c r="AB72" s="19" t="n">
        <v>0.78</v>
      </c>
      <c r="AC72" s="19" t="n">
        <v>0.46</v>
      </c>
      <c r="AD72" s="19" t="n">
        <v>0.55</v>
      </c>
      <c r="AE72" s="19" t="n">
        <v>0.56</v>
      </c>
      <c r="AF72" s="19" t="n">
        <v>0.19</v>
      </c>
      <c r="AG72" s="19" t="n">
        <v>0</v>
      </c>
      <c r="AH72" s="19" t="n">
        <v>0</v>
      </c>
      <c r="AI72" s="19" t="n">
        <v>0</v>
      </c>
      <c r="AJ72" s="19" t="n">
        <v>0</v>
      </c>
      <c r="AK72" s="19" t="n">
        <v>0.08</v>
      </c>
      <c r="AL72" s="19" t="n">
        <v>0.17</v>
      </c>
      <c r="AM72" s="19" t="n">
        <v>0.08</v>
      </c>
      <c r="AN72" s="19" t="n">
        <v>0</v>
      </c>
      <c r="AO72" s="19" t="n">
        <v>0</v>
      </c>
      <c r="AP72" s="19" t="n">
        <v>0</v>
      </c>
      <c r="AQ72" s="19" t="n">
        <v>0</v>
      </c>
      <c r="AR72" s="19" t="n">
        <v>0.03</v>
      </c>
      <c r="AS72" s="19" t="n">
        <v>0.07</v>
      </c>
      <c r="AT72" s="19" t="n">
        <v>0.03</v>
      </c>
      <c r="AU72" s="19" t="n">
        <v>0</v>
      </c>
      <c r="AV72" s="19" t="n">
        <v>0</v>
      </c>
      <c r="AW72" s="19" t="n">
        <v>0</v>
      </c>
      <c r="AX72" s="19" t="n">
        <v>0</v>
      </c>
      <c r="AY72" s="19" t="n">
        <v>0</v>
      </c>
      <c r="AZ72" s="19" t="n">
        <v>0</v>
      </c>
      <c r="BA72" s="19" t="n">
        <v>0</v>
      </c>
      <c r="BB72" s="19" t="n">
        <v>0</v>
      </c>
      <c r="BC72" s="19" t="n">
        <v>0</v>
      </c>
      <c r="BD72" s="20" t="n">
        <f aca="false">SUM(D72:BC72)</f>
        <v>6.05</v>
      </c>
    </row>
    <row r="73" customFormat="false" ht="15" hidden="false" customHeight="false" outlineLevel="0" collapsed="false">
      <c r="A73" s="5" t="s">
        <v>249</v>
      </c>
      <c r="B73" s="5" t="s">
        <v>42</v>
      </c>
      <c r="C73" s="5" t="s">
        <v>179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0.09</v>
      </c>
      <c r="V73" s="19" t="n">
        <v>0.18</v>
      </c>
      <c r="W73" s="19" t="n">
        <v>0.09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0.25</v>
      </c>
      <c r="AC73" s="19" t="n">
        <v>0.89</v>
      </c>
      <c r="AD73" s="19" t="n">
        <v>1.45</v>
      </c>
      <c r="AE73" s="19" t="n">
        <v>1.21</v>
      </c>
      <c r="AF73" s="19" t="n">
        <v>0.41</v>
      </c>
      <c r="AG73" s="19" t="n">
        <v>0</v>
      </c>
      <c r="AH73" s="19" t="n">
        <v>0.12</v>
      </c>
      <c r="AI73" s="19" t="n">
        <v>0.23</v>
      </c>
      <c r="AJ73" s="19" t="n">
        <v>0.12</v>
      </c>
      <c r="AK73" s="19" t="n">
        <v>0</v>
      </c>
      <c r="AL73" s="19" t="n">
        <v>0.12</v>
      </c>
      <c r="AM73" s="19" t="n">
        <v>0.23</v>
      </c>
      <c r="AN73" s="19" t="n">
        <v>0.12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20" t="n">
        <f aca="false">SUM(D73:BC73)</f>
        <v>5.51</v>
      </c>
    </row>
    <row r="74" customFormat="false" ht="15" hidden="false" customHeight="false" outlineLevel="0" collapsed="false">
      <c r="A74" s="5" t="s">
        <v>250</v>
      </c>
      <c r="B74" s="5" t="s">
        <v>62</v>
      </c>
      <c r="C74" s="5" t="s">
        <v>179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0.09</v>
      </c>
      <c r="I74" s="19" t="n">
        <v>0.18</v>
      </c>
      <c r="J74" s="19" t="n">
        <v>0.09</v>
      </c>
      <c r="K74" s="19" t="n">
        <v>0</v>
      </c>
      <c r="L74" s="19" t="n">
        <v>0</v>
      </c>
      <c r="M74" s="19" t="n">
        <v>0</v>
      </c>
      <c r="N74" s="19" t="n">
        <v>0.09</v>
      </c>
      <c r="O74" s="19" t="n">
        <v>0.18</v>
      </c>
      <c r="P74" s="19" t="n">
        <v>0.09</v>
      </c>
      <c r="Q74" s="19" t="n">
        <v>0</v>
      </c>
      <c r="R74" s="19" t="n">
        <v>0.17</v>
      </c>
      <c r="S74" s="19" t="n">
        <v>0.34</v>
      </c>
      <c r="T74" s="19" t="n">
        <v>0.25</v>
      </c>
      <c r="U74" s="19" t="n">
        <v>0.25</v>
      </c>
      <c r="V74" s="19" t="n">
        <v>0.43</v>
      </c>
      <c r="W74" s="19" t="n">
        <v>0.52</v>
      </c>
      <c r="X74" s="19" t="n">
        <v>0.43</v>
      </c>
      <c r="Y74" s="19" t="n">
        <v>0.33</v>
      </c>
      <c r="Z74" s="19" t="n">
        <v>0.47</v>
      </c>
      <c r="AA74" s="19" t="n">
        <v>0.63</v>
      </c>
      <c r="AB74" s="19" t="n">
        <v>0.4</v>
      </c>
      <c r="AC74" s="19" t="n">
        <v>0.16</v>
      </c>
      <c r="AD74" s="19" t="n">
        <v>0.24</v>
      </c>
      <c r="AE74" s="19" t="n">
        <v>0.35</v>
      </c>
      <c r="AF74" s="19" t="n">
        <v>0.43</v>
      </c>
      <c r="AG74" s="19" t="n">
        <v>0.35</v>
      </c>
      <c r="AH74" s="19" t="n">
        <v>0.12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9" t="n">
        <v>0</v>
      </c>
      <c r="AV74" s="19" t="n">
        <v>0</v>
      </c>
      <c r="AW74" s="19" t="n">
        <v>0</v>
      </c>
      <c r="AX74" s="19" t="n">
        <v>0</v>
      </c>
      <c r="AY74" s="19" t="n">
        <v>0</v>
      </c>
      <c r="AZ74" s="19" t="n">
        <v>0</v>
      </c>
      <c r="BA74" s="19" t="n">
        <v>0</v>
      </c>
      <c r="BB74" s="19" t="n">
        <v>0</v>
      </c>
      <c r="BC74" s="19" t="n">
        <v>0</v>
      </c>
      <c r="BD74" s="20" t="n">
        <f aca="false">SUM(D74:BC74)</f>
        <v>6.59</v>
      </c>
    </row>
    <row r="75" customFormat="false" ht="15" hidden="false" customHeight="false" outlineLevel="0" collapsed="false">
      <c r="A75" s="5" t="s">
        <v>251</v>
      </c>
      <c r="B75" s="5" t="s">
        <v>69</v>
      </c>
      <c r="C75" s="5" t="s">
        <v>179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0.08</v>
      </c>
      <c r="O75" s="19" t="n">
        <v>0.16</v>
      </c>
      <c r="P75" s="19" t="n">
        <v>0.08</v>
      </c>
      <c r="Q75" s="19" t="n">
        <v>0</v>
      </c>
      <c r="R75" s="19" t="n">
        <v>0</v>
      </c>
      <c r="S75" s="19" t="n">
        <v>0.08</v>
      </c>
      <c r="T75" s="19" t="n">
        <v>0.25</v>
      </c>
      <c r="U75" s="19" t="n">
        <v>0.32</v>
      </c>
      <c r="V75" s="19" t="n">
        <v>0.2</v>
      </c>
      <c r="W75" s="19" t="n">
        <v>0.33</v>
      </c>
      <c r="X75" s="19" t="n">
        <v>0.54</v>
      </c>
      <c r="Y75" s="19" t="n">
        <v>0.35</v>
      </c>
      <c r="Z75" s="19" t="n">
        <v>0.24</v>
      </c>
      <c r="AA75" s="19" t="n">
        <v>0.32</v>
      </c>
      <c r="AB75" s="19" t="n">
        <v>0.32</v>
      </c>
      <c r="AC75" s="19" t="n">
        <v>0.49</v>
      </c>
      <c r="AD75" s="19" t="n">
        <v>0.58</v>
      </c>
      <c r="AE75" s="19" t="n">
        <v>0.6</v>
      </c>
      <c r="AF75" s="19" t="n">
        <v>0.81</v>
      </c>
      <c r="AG75" s="19" t="n">
        <v>0.58</v>
      </c>
      <c r="AH75" s="19" t="n">
        <v>0.28</v>
      </c>
      <c r="AI75" s="19" t="n">
        <v>0.91</v>
      </c>
      <c r="AJ75" s="19" t="n">
        <v>1.33</v>
      </c>
      <c r="AK75" s="19" t="n">
        <v>0.58</v>
      </c>
      <c r="AL75" s="19" t="n">
        <v>0</v>
      </c>
      <c r="AM75" s="19" t="n">
        <v>0</v>
      </c>
      <c r="AN75" s="19" t="n">
        <v>0</v>
      </c>
      <c r="AO75" s="19" t="n">
        <v>0</v>
      </c>
      <c r="AP75" s="19" t="n">
        <v>0</v>
      </c>
      <c r="AQ75" s="19" t="n">
        <v>0</v>
      </c>
      <c r="AR75" s="19" t="n">
        <v>0</v>
      </c>
      <c r="AS75" s="19" t="n">
        <v>0</v>
      </c>
      <c r="AT75" s="19" t="n">
        <v>0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20" t="n">
        <f aca="false">SUM(D75:BC75)</f>
        <v>9.43</v>
      </c>
    </row>
    <row r="76" customFormat="false" ht="15" hidden="false" customHeight="false" outlineLevel="0" collapsed="false">
      <c r="A76" s="5" t="s">
        <v>252</v>
      </c>
      <c r="B76" s="5" t="s">
        <v>69</v>
      </c>
      <c r="C76" s="5" t="s">
        <v>179</v>
      </c>
      <c r="D76" s="19" t="n">
        <v>0</v>
      </c>
      <c r="E76" s="19" t="n">
        <v>0</v>
      </c>
      <c r="F76" s="19" t="n">
        <v>0</v>
      </c>
      <c r="G76" s="19" t="n">
        <v>0</v>
      </c>
      <c r="H76" s="19" t="n">
        <v>0</v>
      </c>
      <c r="I76" s="19" t="n">
        <v>0</v>
      </c>
      <c r="J76" s="19" t="n">
        <v>0</v>
      </c>
      <c r="K76" s="19" t="n">
        <v>0</v>
      </c>
      <c r="L76" s="19" t="n">
        <v>0</v>
      </c>
      <c r="M76" s="19" t="n">
        <v>0</v>
      </c>
      <c r="N76" s="19" t="n">
        <v>0</v>
      </c>
      <c r="O76" s="19" t="n">
        <v>0</v>
      </c>
      <c r="P76" s="19" t="n">
        <v>0</v>
      </c>
      <c r="Q76" s="19" t="n">
        <v>0</v>
      </c>
      <c r="R76" s="19" t="n">
        <v>0</v>
      </c>
      <c r="S76" s="19" t="n">
        <v>0</v>
      </c>
      <c r="T76" s="19" t="n">
        <v>0</v>
      </c>
      <c r="U76" s="19" t="n">
        <v>0</v>
      </c>
      <c r="V76" s="19" t="n">
        <v>0</v>
      </c>
      <c r="W76" s="19" t="n">
        <v>0</v>
      </c>
      <c r="X76" s="19" t="n">
        <v>0</v>
      </c>
      <c r="Y76" s="19" t="n">
        <v>0</v>
      </c>
      <c r="Z76" s="19" t="n">
        <v>0.24</v>
      </c>
      <c r="AA76" s="19" t="n">
        <v>0.63</v>
      </c>
      <c r="AB76" s="19" t="n">
        <v>0.79</v>
      </c>
      <c r="AC76" s="19" t="n">
        <v>0.87</v>
      </c>
      <c r="AD76" s="19" t="n">
        <v>0.77</v>
      </c>
      <c r="AE76" s="19" t="n">
        <v>0.35</v>
      </c>
      <c r="AF76" s="19" t="n">
        <v>0.26</v>
      </c>
      <c r="AG76" s="19" t="n">
        <v>0.4</v>
      </c>
      <c r="AH76" s="19" t="n">
        <v>0.63</v>
      </c>
      <c r="AI76" s="19" t="n">
        <v>0.86</v>
      </c>
      <c r="AJ76" s="19" t="n">
        <v>0.43</v>
      </c>
      <c r="AK76" s="19" t="n">
        <v>0</v>
      </c>
      <c r="AL76" s="19" t="n">
        <v>0</v>
      </c>
      <c r="AM76" s="19" t="n">
        <v>0.08</v>
      </c>
      <c r="AN76" s="19" t="n">
        <v>0.17</v>
      </c>
      <c r="AO76" s="19" t="n">
        <v>0.08</v>
      </c>
      <c r="AP76" s="19" t="n">
        <v>0</v>
      </c>
      <c r="AQ76" s="19" t="n">
        <v>0</v>
      </c>
      <c r="AR76" s="19" t="n">
        <v>0</v>
      </c>
      <c r="AS76" s="19" t="n">
        <v>0</v>
      </c>
      <c r="AT76" s="19" t="n">
        <v>0</v>
      </c>
      <c r="AU76" s="19" t="n">
        <v>0</v>
      </c>
      <c r="AV76" s="19" t="n">
        <v>0</v>
      </c>
      <c r="AW76" s="19" t="n">
        <v>0</v>
      </c>
      <c r="AX76" s="19" t="n">
        <v>0</v>
      </c>
      <c r="AY76" s="19" t="n">
        <v>0</v>
      </c>
      <c r="AZ76" s="19" t="n">
        <v>0</v>
      </c>
      <c r="BA76" s="19" t="n">
        <v>0</v>
      </c>
      <c r="BB76" s="19" t="n">
        <v>0</v>
      </c>
      <c r="BC76" s="19" t="n">
        <v>0</v>
      </c>
      <c r="BD76" s="20" t="n">
        <f aca="false">SUM(D76:BC76)</f>
        <v>6.56</v>
      </c>
    </row>
    <row r="77" customFormat="false" ht="15" hidden="false" customHeight="false" outlineLevel="0" collapsed="false">
      <c r="A77" s="5" t="s">
        <v>253</v>
      </c>
      <c r="B77" s="5" t="s">
        <v>45</v>
      </c>
      <c r="C77" s="5" t="s">
        <v>179</v>
      </c>
      <c r="D77" s="19" t="n">
        <v>0</v>
      </c>
      <c r="E77" s="19" t="n">
        <v>0</v>
      </c>
      <c r="F77" s="19" t="n">
        <v>0</v>
      </c>
      <c r="G77" s="19" t="n">
        <v>0</v>
      </c>
      <c r="H77" s="19" t="n">
        <v>0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0</v>
      </c>
      <c r="O77" s="19" t="n">
        <v>0</v>
      </c>
      <c r="P77" s="19" t="n">
        <v>0</v>
      </c>
      <c r="Q77" s="19" t="n">
        <v>0.08</v>
      </c>
      <c r="R77" s="19" t="n">
        <v>0.16</v>
      </c>
      <c r="S77" s="19" t="n">
        <v>0.08</v>
      </c>
      <c r="T77" s="19" t="n">
        <v>0.08</v>
      </c>
      <c r="U77" s="19" t="n">
        <v>0.16</v>
      </c>
      <c r="V77" s="19" t="n">
        <v>0.08</v>
      </c>
      <c r="W77" s="19" t="n">
        <v>0.08</v>
      </c>
      <c r="X77" s="19" t="n">
        <v>0.16</v>
      </c>
      <c r="Y77" s="19" t="n">
        <v>0.16</v>
      </c>
      <c r="Z77" s="19" t="n">
        <v>0.24</v>
      </c>
      <c r="AA77" s="19" t="n">
        <v>0.4</v>
      </c>
      <c r="AB77" s="19" t="n">
        <v>0.47</v>
      </c>
      <c r="AC77" s="19" t="n">
        <v>0.4</v>
      </c>
      <c r="AD77" s="19" t="n">
        <v>0.32</v>
      </c>
      <c r="AE77" s="19" t="n">
        <v>0.24</v>
      </c>
      <c r="AF77" s="19" t="n">
        <v>0.08</v>
      </c>
      <c r="AG77" s="19" t="n">
        <v>0</v>
      </c>
      <c r="AH77" s="19" t="n">
        <v>0</v>
      </c>
      <c r="AI77" s="19" t="n">
        <v>0</v>
      </c>
      <c r="AJ77" s="19" t="n">
        <v>0</v>
      </c>
      <c r="AK77" s="19" t="n">
        <v>0</v>
      </c>
      <c r="AL77" s="19" t="n">
        <v>0</v>
      </c>
      <c r="AM77" s="19" t="n">
        <v>0</v>
      </c>
      <c r="AN77" s="19" t="n">
        <v>0</v>
      </c>
      <c r="AO77" s="19" t="n">
        <v>0</v>
      </c>
      <c r="AP77" s="19" t="n">
        <v>0</v>
      </c>
      <c r="AQ77" s="19" t="n">
        <v>0</v>
      </c>
      <c r="AR77" s="19" t="n">
        <v>0</v>
      </c>
      <c r="AS77" s="19" t="n">
        <v>0</v>
      </c>
      <c r="AT77" s="19" t="n">
        <v>0</v>
      </c>
      <c r="AU77" s="19" t="n">
        <v>0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20" t="n">
        <f aca="false">SUM(D77:BC77)</f>
        <v>3.19</v>
      </c>
    </row>
    <row r="78" customFormat="false" ht="15" hidden="false" customHeight="false" outlineLevel="0" collapsed="false">
      <c r="A78" s="5" t="s">
        <v>254</v>
      </c>
      <c r="B78" s="5" t="s">
        <v>45</v>
      </c>
      <c r="C78" s="5" t="s">
        <v>179</v>
      </c>
      <c r="D78" s="19" t="n">
        <v>0</v>
      </c>
      <c r="E78" s="19" t="n">
        <v>0</v>
      </c>
      <c r="F78" s="19" t="n">
        <v>0</v>
      </c>
      <c r="G78" s="19" t="n">
        <v>0</v>
      </c>
      <c r="H78" s="19" t="n">
        <v>0</v>
      </c>
      <c r="I78" s="19" t="n">
        <v>0</v>
      </c>
      <c r="J78" s="19" t="n">
        <v>0</v>
      </c>
      <c r="K78" s="19" t="n">
        <v>0</v>
      </c>
      <c r="L78" s="19" t="n">
        <v>0</v>
      </c>
      <c r="M78" s="19" t="n">
        <v>0</v>
      </c>
      <c r="N78" s="19" t="n">
        <v>0</v>
      </c>
      <c r="O78" s="19" t="n">
        <v>0</v>
      </c>
      <c r="P78" s="19" t="n">
        <v>0</v>
      </c>
      <c r="Q78" s="19" t="n">
        <v>0</v>
      </c>
      <c r="R78" s="19" t="n">
        <v>0</v>
      </c>
      <c r="S78" s="19" t="n">
        <v>0</v>
      </c>
      <c r="T78" s="19" t="n">
        <v>0</v>
      </c>
      <c r="U78" s="19" t="n">
        <v>0</v>
      </c>
      <c r="V78" s="19" t="n">
        <v>0</v>
      </c>
      <c r="W78" s="19" t="n">
        <v>0</v>
      </c>
      <c r="X78" s="19" t="n">
        <v>0.09</v>
      </c>
      <c r="Y78" s="19" t="n">
        <v>0.18</v>
      </c>
      <c r="Z78" s="19" t="n">
        <v>0.09</v>
      </c>
      <c r="AA78" s="19" t="n">
        <v>0</v>
      </c>
      <c r="AB78" s="19" t="n">
        <v>0.33</v>
      </c>
      <c r="AC78" s="19" t="n">
        <v>0.9</v>
      </c>
      <c r="AD78" s="19" t="n">
        <v>0.9</v>
      </c>
      <c r="AE78" s="19" t="n">
        <v>0.41</v>
      </c>
      <c r="AF78" s="19" t="n">
        <v>0.08</v>
      </c>
      <c r="AG78" s="19" t="n">
        <v>0</v>
      </c>
      <c r="AH78" s="19" t="n">
        <v>0</v>
      </c>
      <c r="AI78" s="19" t="n">
        <v>0</v>
      </c>
      <c r="AJ78" s="19" t="n">
        <v>0</v>
      </c>
      <c r="AK78" s="19" t="n">
        <v>0</v>
      </c>
      <c r="AL78" s="19" t="n">
        <v>0</v>
      </c>
      <c r="AM78" s="19" t="n">
        <v>0</v>
      </c>
      <c r="AN78" s="19" t="n">
        <v>0</v>
      </c>
      <c r="AO78" s="19" t="n">
        <v>0</v>
      </c>
      <c r="AP78" s="19" t="n">
        <v>0</v>
      </c>
      <c r="AQ78" s="19" t="n">
        <v>0</v>
      </c>
      <c r="AR78" s="19" t="n">
        <v>0</v>
      </c>
      <c r="AS78" s="19" t="n">
        <v>0</v>
      </c>
      <c r="AT78" s="19" t="n">
        <v>0</v>
      </c>
      <c r="AU78" s="19" t="n">
        <v>0</v>
      </c>
      <c r="AV78" s="19" t="n">
        <v>0</v>
      </c>
      <c r="AW78" s="19" t="n">
        <v>0</v>
      </c>
      <c r="AX78" s="19" t="n">
        <v>0</v>
      </c>
      <c r="AY78" s="19" t="n">
        <v>0</v>
      </c>
      <c r="AZ78" s="19" t="n">
        <v>0</v>
      </c>
      <c r="BA78" s="19" t="n">
        <v>0</v>
      </c>
      <c r="BB78" s="19" t="n">
        <v>0</v>
      </c>
      <c r="BC78" s="19" t="n">
        <v>0</v>
      </c>
      <c r="BD78" s="20" t="n">
        <f aca="false">SUM(D78:BC78)</f>
        <v>2.98</v>
      </c>
    </row>
    <row r="79" customFormat="false" ht="15" hidden="false" customHeight="false" outlineLevel="0" collapsed="false">
      <c r="A79" s="5" t="s">
        <v>255</v>
      </c>
      <c r="B79" s="5" t="s">
        <v>45</v>
      </c>
      <c r="C79" s="5" t="s">
        <v>179</v>
      </c>
      <c r="D79" s="19" t="n">
        <v>0</v>
      </c>
      <c r="E79" s="19" t="n">
        <v>0</v>
      </c>
      <c r="F79" s="19" t="n">
        <v>0</v>
      </c>
      <c r="G79" s="19" t="n">
        <v>0</v>
      </c>
      <c r="H79" s="19" t="n">
        <v>0</v>
      </c>
      <c r="I79" s="19" t="n">
        <v>0</v>
      </c>
      <c r="J79" s="19" t="n">
        <v>0</v>
      </c>
      <c r="K79" s="19" t="n">
        <v>0</v>
      </c>
      <c r="L79" s="19" t="n">
        <v>0</v>
      </c>
      <c r="M79" s="19" t="n">
        <v>0</v>
      </c>
      <c r="N79" s="19" t="n">
        <v>0.02</v>
      </c>
      <c r="O79" s="19" t="n">
        <v>0.16</v>
      </c>
      <c r="P79" s="19" t="n">
        <v>0.27</v>
      </c>
      <c r="Q79" s="19" t="n">
        <v>0.16</v>
      </c>
      <c r="R79" s="19" t="n">
        <v>0.02</v>
      </c>
      <c r="S79" s="19" t="n">
        <v>0</v>
      </c>
      <c r="T79" s="19" t="n">
        <v>0</v>
      </c>
      <c r="U79" s="19" t="n">
        <v>0.07</v>
      </c>
      <c r="V79" s="19" t="n">
        <v>0.16</v>
      </c>
      <c r="W79" s="19" t="n">
        <v>0.11</v>
      </c>
      <c r="X79" s="19" t="n">
        <v>0.12</v>
      </c>
      <c r="Y79" s="19" t="n">
        <v>0.23</v>
      </c>
      <c r="Z79" s="19" t="n">
        <v>0.15</v>
      </c>
      <c r="AA79" s="19" t="n">
        <v>0.02</v>
      </c>
      <c r="AB79" s="19" t="n">
        <v>0</v>
      </c>
      <c r="AC79" s="19" t="n">
        <v>0</v>
      </c>
      <c r="AD79" s="19" t="n">
        <v>0.02</v>
      </c>
      <c r="AE79" s="19" t="n">
        <v>0.13</v>
      </c>
      <c r="AF79" s="19" t="n">
        <v>0.35</v>
      </c>
      <c r="AG79" s="19" t="n">
        <v>0.42</v>
      </c>
      <c r="AH79" s="19" t="n">
        <v>0.17</v>
      </c>
      <c r="AI79" s="19" t="n">
        <v>0</v>
      </c>
      <c r="AJ79" s="19" t="n">
        <v>0</v>
      </c>
      <c r="AK79" s="19" t="n">
        <v>0.08</v>
      </c>
      <c r="AL79" s="19" t="n">
        <v>0.2</v>
      </c>
      <c r="AM79" s="19" t="n">
        <v>0.15</v>
      </c>
      <c r="AN79" s="19" t="n">
        <v>0.03</v>
      </c>
      <c r="AO79" s="19" t="n">
        <v>0</v>
      </c>
      <c r="AP79" s="19" t="n">
        <v>0</v>
      </c>
      <c r="AQ79" s="19" t="n">
        <v>0</v>
      </c>
      <c r="AR79" s="19" t="n">
        <v>0</v>
      </c>
      <c r="AS79" s="19" t="n">
        <v>0</v>
      </c>
      <c r="AT79" s="19" t="n">
        <v>0.08</v>
      </c>
      <c r="AU79" s="19" t="n">
        <v>0.17</v>
      </c>
      <c r="AV79" s="19" t="n">
        <v>0.08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20" t="n">
        <f aca="false">SUM(D79:BC79)</f>
        <v>3.37</v>
      </c>
    </row>
    <row r="80" customFormat="false" ht="15" hidden="false" customHeight="false" outlineLevel="0" collapsed="false">
      <c r="A80" s="5" t="s">
        <v>256</v>
      </c>
      <c r="B80" s="5" t="s">
        <v>69</v>
      </c>
      <c r="C80" s="5" t="s">
        <v>179</v>
      </c>
      <c r="D80" s="19" t="n">
        <v>0</v>
      </c>
      <c r="E80" s="19" t="n">
        <v>0</v>
      </c>
      <c r="F80" s="19" t="n">
        <v>0</v>
      </c>
      <c r="G80" s="19" t="n">
        <v>0</v>
      </c>
      <c r="H80" s="19" t="n">
        <v>0</v>
      </c>
      <c r="I80" s="19" t="n">
        <v>0</v>
      </c>
      <c r="J80" s="19" t="n">
        <v>0</v>
      </c>
      <c r="K80" s="19" t="n">
        <v>0</v>
      </c>
      <c r="L80" s="19" t="n">
        <v>0</v>
      </c>
      <c r="M80" s="19" t="n">
        <v>0</v>
      </c>
      <c r="N80" s="19" t="n">
        <v>0</v>
      </c>
      <c r="O80" s="19" t="n">
        <v>0</v>
      </c>
      <c r="P80" s="19" t="n">
        <v>0</v>
      </c>
      <c r="Q80" s="19" t="n">
        <v>0</v>
      </c>
      <c r="R80" s="19" t="n">
        <v>0</v>
      </c>
      <c r="S80" s="19" t="n">
        <v>0</v>
      </c>
      <c r="T80" s="19" t="n">
        <v>0</v>
      </c>
      <c r="U80" s="19" t="n">
        <v>0</v>
      </c>
      <c r="V80" s="19" t="n">
        <v>0.08</v>
      </c>
      <c r="W80" s="19" t="n">
        <v>0.16</v>
      </c>
      <c r="X80" s="19" t="n">
        <v>0.08</v>
      </c>
      <c r="Y80" s="19" t="n">
        <v>0</v>
      </c>
      <c r="Z80" s="19" t="n">
        <v>0.09</v>
      </c>
      <c r="AA80" s="19" t="n">
        <v>0.42</v>
      </c>
      <c r="AB80" s="19" t="n">
        <v>0.7</v>
      </c>
      <c r="AC80" s="19" t="n">
        <v>0.69</v>
      </c>
      <c r="AD80" s="19" t="n">
        <v>0.5</v>
      </c>
      <c r="AE80" s="19" t="n">
        <v>0.3</v>
      </c>
      <c r="AF80" s="19" t="n">
        <v>0.47</v>
      </c>
      <c r="AG80" s="19" t="n">
        <v>0.66</v>
      </c>
      <c r="AH80" s="19" t="n">
        <v>0.4</v>
      </c>
      <c r="AI80" s="19" t="n">
        <v>0.08</v>
      </c>
      <c r="AJ80" s="19" t="n">
        <v>0</v>
      </c>
      <c r="AK80" s="19" t="n">
        <v>0</v>
      </c>
      <c r="AL80" s="19" t="n">
        <v>0</v>
      </c>
      <c r="AM80" s="19" t="n">
        <v>0</v>
      </c>
      <c r="AN80" s="19" t="n">
        <v>0</v>
      </c>
      <c r="AO80" s="19" t="n">
        <v>0</v>
      </c>
      <c r="AP80" s="19" t="n">
        <v>0</v>
      </c>
      <c r="AQ80" s="19" t="n">
        <v>0</v>
      </c>
      <c r="AR80" s="19" t="n">
        <v>0</v>
      </c>
      <c r="AS80" s="19" t="n">
        <v>0</v>
      </c>
      <c r="AT80" s="19" t="n">
        <v>0</v>
      </c>
      <c r="AU80" s="19" t="n">
        <v>0</v>
      </c>
      <c r="AV80" s="19" t="n">
        <v>0</v>
      </c>
      <c r="AW80" s="19" t="n">
        <v>0</v>
      </c>
      <c r="AX80" s="19" t="n">
        <v>0</v>
      </c>
      <c r="AY80" s="19" t="n">
        <v>0</v>
      </c>
      <c r="AZ80" s="19" t="n">
        <v>0</v>
      </c>
      <c r="BA80" s="19" t="n">
        <v>0</v>
      </c>
      <c r="BB80" s="19" t="n">
        <v>0</v>
      </c>
      <c r="BC80" s="19" t="n">
        <v>0</v>
      </c>
      <c r="BD80" s="20" t="n">
        <f aca="false">SUM(D80:BC80)</f>
        <v>4.63</v>
      </c>
    </row>
    <row r="81" customFormat="false" ht="15" hidden="false" customHeight="false" outlineLevel="0" collapsed="false">
      <c r="A81" s="5" t="s">
        <v>257</v>
      </c>
      <c r="B81" s="5" t="s">
        <v>62</v>
      </c>
      <c r="C81" s="5" t="s">
        <v>179</v>
      </c>
      <c r="D81" s="19" t="n">
        <v>0</v>
      </c>
      <c r="E81" s="19" t="n">
        <v>0</v>
      </c>
      <c r="F81" s="19" t="n">
        <v>0</v>
      </c>
      <c r="G81" s="19" t="n">
        <v>0</v>
      </c>
      <c r="H81" s="19" t="n">
        <v>0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0</v>
      </c>
      <c r="O81" s="19" t="n">
        <v>0</v>
      </c>
      <c r="P81" s="19" t="n">
        <v>0</v>
      </c>
      <c r="Q81" s="19" t="n">
        <v>0.16</v>
      </c>
      <c r="R81" s="19" t="n">
        <v>0.32</v>
      </c>
      <c r="S81" s="19" t="n">
        <v>0.16</v>
      </c>
      <c r="T81" s="19" t="n">
        <v>0.16</v>
      </c>
      <c r="U81" s="19" t="n">
        <v>0.32</v>
      </c>
      <c r="V81" s="19" t="n">
        <v>0.24</v>
      </c>
      <c r="W81" s="19" t="n">
        <v>0.24</v>
      </c>
      <c r="X81" s="19" t="n">
        <v>0.24</v>
      </c>
      <c r="Y81" s="19" t="n">
        <v>0.08</v>
      </c>
      <c r="Z81" s="19" t="n">
        <v>0</v>
      </c>
      <c r="AA81" s="19" t="n">
        <v>0</v>
      </c>
      <c r="AB81" s="19" t="n">
        <v>0</v>
      </c>
      <c r="AC81" s="19" t="n">
        <v>0</v>
      </c>
      <c r="AD81" s="19" t="n">
        <v>0</v>
      </c>
      <c r="AE81" s="19" t="n">
        <v>0</v>
      </c>
      <c r="AF81" s="19" t="n">
        <v>0</v>
      </c>
      <c r="AG81" s="19" t="n">
        <v>0</v>
      </c>
      <c r="AH81" s="19" t="n">
        <v>0</v>
      </c>
      <c r="AI81" s="19" t="n">
        <v>0</v>
      </c>
      <c r="AJ81" s="19" t="n">
        <v>0</v>
      </c>
      <c r="AK81" s="19" t="n">
        <v>0</v>
      </c>
      <c r="AL81" s="19" t="n">
        <v>0</v>
      </c>
      <c r="AM81" s="19" t="n">
        <v>0</v>
      </c>
      <c r="AN81" s="19" t="n">
        <v>0</v>
      </c>
      <c r="AO81" s="19" t="n">
        <v>0</v>
      </c>
      <c r="AP81" s="19" t="n">
        <v>0</v>
      </c>
      <c r="AQ81" s="19" t="n">
        <v>0</v>
      </c>
      <c r="AR81" s="19" t="n">
        <v>0</v>
      </c>
      <c r="AS81" s="19" t="n">
        <v>0</v>
      </c>
      <c r="AT81" s="19" t="n">
        <v>0</v>
      </c>
      <c r="AU81" s="19" t="n">
        <v>0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20" t="n">
        <f aca="false">SUM(D81:BC81)</f>
        <v>1.92</v>
      </c>
    </row>
    <row r="82" customFormat="false" ht="15" hidden="false" customHeight="false" outlineLevel="0" collapsed="false">
      <c r="A82" s="5" t="s">
        <v>258</v>
      </c>
      <c r="B82" s="5" t="s">
        <v>69</v>
      </c>
      <c r="C82" s="5" t="s">
        <v>179</v>
      </c>
      <c r="D82" s="19" t="n">
        <v>0</v>
      </c>
      <c r="E82" s="19" t="n">
        <v>0</v>
      </c>
      <c r="F82" s="19" t="n">
        <v>0</v>
      </c>
      <c r="G82" s="19" t="n">
        <v>0</v>
      </c>
      <c r="H82" s="19" t="n">
        <v>0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0</v>
      </c>
      <c r="O82" s="19" t="n">
        <v>0</v>
      </c>
      <c r="P82" s="19" t="n">
        <v>0</v>
      </c>
      <c r="Q82" s="19" t="n">
        <v>0.18</v>
      </c>
      <c r="R82" s="19" t="n">
        <v>0.61</v>
      </c>
      <c r="S82" s="19" t="n">
        <v>0.76</v>
      </c>
      <c r="T82" s="19" t="n">
        <v>0.41</v>
      </c>
      <c r="U82" s="19" t="n">
        <v>0.17</v>
      </c>
      <c r="V82" s="19" t="n">
        <v>0.18</v>
      </c>
      <c r="W82" s="19" t="n">
        <v>0.17</v>
      </c>
      <c r="X82" s="19" t="n">
        <v>0.34</v>
      </c>
      <c r="Y82" s="19" t="n">
        <v>0.69</v>
      </c>
      <c r="Z82" s="19" t="n">
        <v>0.84</v>
      </c>
      <c r="AA82" s="19" t="n">
        <v>0.73</v>
      </c>
      <c r="AB82" s="19" t="n">
        <v>0.59</v>
      </c>
      <c r="AC82" s="19" t="n">
        <v>0.44</v>
      </c>
      <c r="AD82" s="19" t="n">
        <v>0.27</v>
      </c>
      <c r="AE82" s="19" t="n">
        <v>0.09</v>
      </c>
      <c r="AF82" s="19" t="n">
        <v>0</v>
      </c>
      <c r="AG82" s="19" t="n">
        <v>0</v>
      </c>
      <c r="AH82" s="19" t="n">
        <v>0</v>
      </c>
      <c r="AI82" s="19" t="n">
        <v>0</v>
      </c>
      <c r="AJ82" s="19" t="n">
        <v>0</v>
      </c>
      <c r="AK82" s="19" t="n">
        <v>0</v>
      </c>
      <c r="AL82" s="19" t="n">
        <v>0</v>
      </c>
      <c r="AM82" s="19" t="n">
        <v>0</v>
      </c>
      <c r="AN82" s="19" t="n">
        <v>0</v>
      </c>
      <c r="AO82" s="19" t="n">
        <v>0</v>
      </c>
      <c r="AP82" s="19" t="n">
        <v>0</v>
      </c>
      <c r="AQ82" s="19" t="n">
        <v>0</v>
      </c>
      <c r="AR82" s="19" t="n">
        <v>0</v>
      </c>
      <c r="AS82" s="19" t="n">
        <v>0</v>
      </c>
      <c r="AT82" s="19" t="n">
        <v>0</v>
      </c>
      <c r="AU82" s="19" t="n">
        <v>0</v>
      </c>
      <c r="AV82" s="19" t="n">
        <v>0</v>
      </c>
      <c r="AW82" s="19" t="n">
        <v>0</v>
      </c>
      <c r="AX82" s="19" t="n">
        <v>0</v>
      </c>
      <c r="AY82" s="19" t="n">
        <v>0</v>
      </c>
      <c r="AZ82" s="19" t="n">
        <v>0</v>
      </c>
      <c r="BA82" s="19" t="n">
        <v>0</v>
      </c>
      <c r="BB82" s="19" t="n">
        <v>0</v>
      </c>
      <c r="BC82" s="19" t="n">
        <v>0</v>
      </c>
      <c r="BD82" s="20" t="n">
        <f aca="false">SUM(D82:BC82)</f>
        <v>6.47</v>
      </c>
    </row>
    <row r="83" customFormat="false" ht="15" hidden="false" customHeight="false" outlineLevel="0" collapsed="false">
      <c r="A83" s="5" t="s">
        <v>259</v>
      </c>
      <c r="B83" s="5" t="s">
        <v>45</v>
      </c>
      <c r="C83" s="5" t="s">
        <v>179</v>
      </c>
      <c r="D83" s="19" t="n">
        <v>0</v>
      </c>
      <c r="E83" s="19" t="n">
        <v>0</v>
      </c>
      <c r="F83" s="19" t="n">
        <v>0</v>
      </c>
      <c r="G83" s="19" t="n">
        <v>0</v>
      </c>
      <c r="H83" s="19" t="n">
        <v>0</v>
      </c>
      <c r="I83" s="19" t="n">
        <v>0</v>
      </c>
      <c r="J83" s="19" t="n">
        <v>0</v>
      </c>
      <c r="K83" s="19" t="n">
        <v>0.06</v>
      </c>
      <c r="L83" s="19" t="n">
        <v>0.11</v>
      </c>
      <c r="M83" s="19" t="n">
        <v>0.06</v>
      </c>
      <c r="N83" s="19" t="n">
        <v>0.09</v>
      </c>
      <c r="O83" s="19" t="n">
        <v>0.18</v>
      </c>
      <c r="P83" s="19" t="n">
        <v>0.09</v>
      </c>
      <c r="Q83" s="19" t="n">
        <v>0.09</v>
      </c>
      <c r="R83" s="19" t="n">
        <v>0.18</v>
      </c>
      <c r="S83" s="19" t="n">
        <v>0.09</v>
      </c>
      <c r="T83" s="19" t="n">
        <v>0</v>
      </c>
      <c r="U83" s="19" t="n">
        <v>0.06</v>
      </c>
      <c r="V83" s="19" t="n">
        <v>0.11</v>
      </c>
      <c r="W83" s="19" t="n">
        <v>0.06</v>
      </c>
      <c r="X83" s="19" t="n">
        <v>0.06</v>
      </c>
      <c r="Y83" s="19" t="n">
        <v>0.23</v>
      </c>
      <c r="Z83" s="19" t="n">
        <v>0.37</v>
      </c>
      <c r="AA83" s="19" t="n">
        <v>0.29</v>
      </c>
      <c r="AB83" s="19" t="n">
        <v>0.2</v>
      </c>
      <c r="AC83" s="19" t="n">
        <v>0.31</v>
      </c>
      <c r="AD83" s="19" t="n">
        <v>0.33</v>
      </c>
      <c r="AE83" s="19" t="n">
        <v>0.19</v>
      </c>
      <c r="AF83" s="19" t="n">
        <v>0.06</v>
      </c>
      <c r="AG83" s="19" t="n">
        <v>0</v>
      </c>
      <c r="AH83" s="19" t="n">
        <v>0</v>
      </c>
      <c r="AI83" s="19" t="n">
        <v>0</v>
      </c>
      <c r="AJ83" s="19" t="n">
        <v>0</v>
      </c>
      <c r="AK83" s="19" t="n">
        <v>0</v>
      </c>
      <c r="AL83" s="19" t="n">
        <v>0</v>
      </c>
      <c r="AM83" s="19" t="n">
        <v>0</v>
      </c>
      <c r="AN83" s="19" t="n">
        <v>0</v>
      </c>
      <c r="AO83" s="19" t="n">
        <v>0</v>
      </c>
      <c r="AP83" s="19" t="n">
        <v>0</v>
      </c>
      <c r="AQ83" s="19" t="n">
        <v>0</v>
      </c>
      <c r="AR83" s="19" t="n">
        <v>0</v>
      </c>
      <c r="AS83" s="19" t="n">
        <v>0</v>
      </c>
      <c r="AT83" s="19" t="n">
        <v>0</v>
      </c>
      <c r="AU83" s="19" t="n">
        <v>0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20" t="n">
        <f aca="false">SUM(D83:BC83)</f>
        <v>3.22</v>
      </c>
    </row>
    <row r="84" customFormat="false" ht="15" hidden="false" customHeight="false" outlineLevel="0" collapsed="false">
      <c r="A84" s="5" t="s">
        <v>260</v>
      </c>
      <c r="B84" s="5" t="s">
        <v>45</v>
      </c>
      <c r="C84" s="5" t="s">
        <v>179</v>
      </c>
      <c r="D84" s="19" t="n">
        <v>0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19" t="n">
        <v>0.09</v>
      </c>
      <c r="Q84" s="19" t="n">
        <v>0.18</v>
      </c>
      <c r="R84" s="19" t="n">
        <v>0.09</v>
      </c>
      <c r="S84" s="19" t="n">
        <v>0</v>
      </c>
      <c r="T84" s="19" t="n">
        <v>0.08</v>
      </c>
      <c r="U84" s="19" t="n">
        <v>0.16</v>
      </c>
      <c r="V84" s="19" t="n">
        <v>0.08</v>
      </c>
      <c r="W84" s="19" t="n">
        <v>0</v>
      </c>
      <c r="X84" s="19" t="n">
        <v>0.17</v>
      </c>
      <c r="Y84" s="19" t="n">
        <v>0.34</v>
      </c>
      <c r="Z84" s="19" t="n">
        <v>0.17</v>
      </c>
      <c r="AA84" s="19" t="n">
        <v>0.08</v>
      </c>
      <c r="AB84" s="19" t="n">
        <v>0.16</v>
      </c>
      <c r="AC84" s="19" t="n">
        <v>0.08</v>
      </c>
      <c r="AD84" s="19" t="n">
        <v>0.08</v>
      </c>
      <c r="AE84" s="19" t="n">
        <v>0.27</v>
      </c>
      <c r="AF84" s="19" t="n">
        <v>0.31</v>
      </c>
      <c r="AG84" s="19" t="n">
        <v>0.12</v>
      </c>
      <c r="AH84" s="19" t="n">
        <v>0.12</v>
      </c>
      <c r="AI84" s="19" t="n">
        <v>0.23</v>
      </c>
      <c r="AJ84" s="19" t="n">
        <v>0.12</v>
      </c>
      <c r="AK84" s="19" t="n">
        <v>0</v>
      </c>
      <c r="AL84" s="19" t="n">
        <v>0</v>
      </c>
      <c r="AM84" s="19" t="n">
        <v>0</v>
      </c>
      <c r="AN84" s="19" t="n">
        <v>0</v>
      </c>
      <c r="AO84" s="19" t="n">
        <v>0</v>
      </c>
      <c r="AP84" s="19" t="n">
        <v>0</v>
      </c>
      <c r="AQ84" s="19" t="n">
        <v>0</v>
      </c>
      <c r="AR84" s="19" t="n">
        <v>0</v>
      </c>
      <c r="AS84" s="19" t="n">
        <v>0</v>
      </c>
      <c r="AT84" s="19" t="n">
        <v>0</v>
      </c>
      <c r="AU84" s="19" t="n">
        <v>0</v>
      </c>
      <c r="AV84" s="19" t="n">
        <v>0</v>
      </c>
      <c r="AW84" s="19" t="n">
        <v>0</v>
      </c>
      <c r="AX84" s="19" t="n">
        <v>0</v>
      </c>
      <c r="AY84" s="19" t="n">
        <v>0</v>
      </c>
      <c r="AZ84" s="19" t="n">
        <v>0</v>
      </c>
      <c r="BA84" s="19" t="n">
        <v>0</v>
      </c>
      <c r="BB84" s="19" t="n">
        <v>0</v>
      </c>
      <c r="BC84" s="19" t="n">
        <v>0</v>
      </c>
      <c r="BD84" s="20" t="n">
        <f aca="false">SUM(D84:BC84)</f>
        <v>2.93</v>
      </c>
    </row>
    <row r="85" customFormat="false" ht="15" hidden="false" customHeight="false" outlineLevel="0" collapsed="false">
      <c r="A85" s="5" t="s">
        <v>261</v>
      </c>
      <c r="B85" s="5" t="s">
        <v>69</v>
      </c>
      <c r="C85" s="5" t="s">
        <v>179</v>
      </c>
      <c r="D85" s="19" t="n">
        <v>0</v>
      </c>
      <c r="E85" s="19" t="n">
        <v>0</v>
      </c>
      <c r="F85" s="19" t="n">
        <v>0</v>
      </c>
      <c r="G85" s="19" t="n">
        <v>0</v>
      </c>
      <c r="H85" s="19" t="n">
        <v>0</v>
      </c>
      <c r="I85" s="19" t="n">
        <v>0</v>
      </c>
      <c r="J85" s="19" t="n">
        <v>0</v>
      </c>
      <c r="K85" s="19" t="n">
        <v>0</v>
      </c>
      <c r="L85" s="19" t="n">
        <v>0</v>
      </c>
      <c r="M85" s="19" t="n">
        <v>0</v>
      </c>
      <c r="N85" s="19" t="n">
        <v>0</v>
      </c>
      <c r="O85" s="19" t="n">
        <v>0</v>
      </c>
      <c r="P85" s="19" t="n">
        <v>0</v>
      </c>
      <c r="Q85" s="19" t="n">
        <v>0</v>
      </c>
      <c r="R85" s="19" t="n">
        <v>0</v>
      </c>
      <c r="S85" s="19" t="n">
        <v>0</v>
      </c>
      <c r="T85" s="19" t="n">
        <v>0</v>
      </c>
      <c r="U85" s="19" t="n">
        <v>0</v>
      </c>
      <c r="V85" s="19" t="n">
        <v>0</v>
      </c>
      <c r="W85" s="19" t="n">
        <v>0</v>
      </c>
      <c r="X85" s="19" t="n">
        <v>0.09</v>
      </c>
      <c r="Y85" s="19" t="n">
        <v>0.18</v>
      </c>
      <c r="Z85" s="19" t="n">
        <v>0.09</v>
      </c>
      <c r="AA85" s="19" t="n">
        <v>0.09</v>
      </c>
      <c r="AB85" s="19" t="n">
        <v>0.18</v>
      </c>
      <c r="AC85" s="19" t="n">
        <v>0.18</v>
      </c>
      <c r="AD85" s="19" t="n">
        <v>0.18</v>
      </c>
      <c r="AE85" s="19" t="n">
        <v>0.09</v>
      </c>
      <c r="AF85" s="19" t="n">
        <v>0</v>
      </c>
      <c r="AG85" s="19" t="n">
        <v>0</v>
      </c>
      <c r="AH85" s="19" t="n">
        <v>0</v>
      </c>
      <c r="AI85" s="19" t="n">
        <v>0</v>
      </c>
      <c r="AJ85" s="19" t="n">
        <v>0</v>
      </c>
      <c r="AK85" s="19" t="n">
        <v>0</v>
      </c>
      <c r="AL85" s="19" t="n">
        <v>0</v>
      </c>
      <c r="AM85" s="19" t="n">
        <v>0</v>
      </c>
      <c r="AN85" s="19" t="n">
        <v>0</v>
      </c>
      <c r="AO85" s="19" t="n">
        <v>0</v>
      </c>
      <c r="AP85" s="19" t="n">
        <v>0</v>
      </c>
      <c r="AQ85" s="19" t="n">
        <v>0</v>
      </c>
      <c r="AR85" s="19" t="n">
        <v>0</v>
      </c>
      <c r="AS85" s="19" t="n">
        <v>0</v>
      </c>
      <c r="AT85" s="19" t="n">
        <v>0</v>
      </c>
      <c r="AU85" s="19" t="n">
        <v>0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20" t="n">
        <f aca="false">SUM(D85:BC85)</f>
        <v>1.08</v>
      </c>
    </row>
    <row r="86" customFormat="false" ht="15" hidden="false" customHeight="false" outlineLevel="0" collapsed="false">
      <c r="A86" s="5" t="s">
        <v>262</v>
      </c>
      <c r="B86" s="5" t="s">
        <v>45</v>
      </c>
      <c r="C86" s="5" t="s">
        <v>179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0.03</v>
      </c>
      <c r="O86" s="19" t="n">
        <v>0.07</v>
      </c>
      <c r="P86" s="19" t="n">
        <v>0.03</v>
      </c>
      <c r="Q86" s="19" t="n">
        <v>0</v>
      </c>
      <c r="R86" s="19" t="n">
        <v>0.09</v>
      </c>
      <c r="S86" s="19" t="n">
        <v>0.18</v>
      </c>
      <c r="T86" s="19" t="n">
        <v>0.11</v>
      </c>
      <c r="U86" s="19" t="n">
        <v>0.05</v>
      </c>
      <c r="V86" s="19" t="n">
        <v>0.31</v>
      </c>
      <c r="W86" s="19" t="n">
        <v>0.56</v>
      </c>
      <c r="X86" s="19" t="n">
        <v>0.54</v>
      </c>
      <c r="Y86" s="19" t="n">
        <v>0.76</v>
      </c>
      <c r="Z86" s="19" t="n">
        <v>0.78</v>
      </c>
      <c r="AA86" s="19" t="n">
        <v>0.43</v>
      </c>
      <c r="AB86" s="19" t="n">
        <v>0.27</v>
      </c>
      <c r="AC86" s="19" t="n">
        <v>0.17</v>
      </c>
      <c r="AD86" s="19" t="n">
        <v>0.18</v>
      </c>
      <c r="AE86" s="19" t="n">
        <v>0.25</v>
      </c>
      <c r="AF86" s="19" t="n">
        <v>0.2</v>
      </c>
      <c r="AG86" s="19" t="n">
        <v>0.23</v>
      </c>
      <c r="AH86" s="19" t="n">
        <v>0.25</v>
      </c>
      <c r="AI86" s="19" t="n">
        <v>0.22</v>
      </c>
      <c r="AJ86" s="19" t="n">
        <v>0.2</v>
      </c>
      <c r="AK86" s="19" t="n">
        <v>0.12</v>
      </c>
      <c r="AL86" s="19" t="n">
        <v>0.1</v>
      </c>
      <c r="AM86" s="19" t="n">
        <v>0.1</v>
      </c>
      <c r="AN86" s="19" t="n">
        <v>0.03</v>
      </c>
      <c r="AO86" s="19" t="n">
        <v>0</v>
      </c>
      <c r="AP86" s="19" t="n">
        <v>0</v>
      </c>
      <c r="AQ86" s="19" t="n">
        <v>0</v>
      </c>
      <c r="AR86" s="19" t="n">
        <v>0.03</v>
      </c>
      <c r="AS86" s="19" t="n">
        <v>0.07</v>
      </c>
      <c r="AT86" s="19" t="n">
        <v>0.03</v>
      </c>
      <c r="AU86" s="19" t="n">
        <v>0</v>
      </c>
      <c r="AV86" s="19" t="n">
        <v>0</v>
      </c>
      <c r="AW86" s="19" t="n">
        <v>0</v>
      </c>
      <c r="AX86" s="19" t="n">
        <v>0</v>
      </c>
      <c r="AY86" s="19" t="n">
        <v>0</v>
      </c>
      <c r="AZ86" s="19" t="n">
        <v>0</v>
      </c>
      <c r="BA86" s="19" t="n">
        <v>0</v>
      </c>
      <c r="BB86" s="19" t="n">
        <v>0</v>
      </c>
      <c r="BC86" s="19" t="n">
        <v>0</v>
      </c>
      <c r="BD86" s="20" t="n">
        <f aca="false">SUM(D86:BC86)</f>
        <v>6.39</v>
      </c>
    </row>
    <row r="87" customFormat="false" ht="15" hidden="false" customHeight="false" outlineLevel="0" collapsed="false">
      <c r="A87" s="5" t="s">
        <v>263</v>
      </c>
      <c r="B87" s="5" t="s">
        <v>69</v>
      </c>
      <c r="C87" s="5" t="s">
        <v>179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9" t="n">
        <v>0.08</v>
      </c>
      <c r="R87" s="19" t="n">
        <v>0.16</v>
      </c>
      <c r="S87" s="19" t="n">
        <v>0.08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19" t="n">
        <v>0</v>
      </c>
      <c r="Z87" s="19" t="n">
        <v>0</v>
      </c>
      <c r="AA87" s="19" t="n">
        <v>0</v>
      </c>
      <c r="AB87" s="19" t="n">
        <v>0.02</v>
      </c>
      <c r="AC87" s="19" t="n">
        <v>0.07</v>
      </c>
      <c r="AD87" s="19" t="n">
        <v>0.09</v>
      </c>
      <c r="AE87" s="19" t="n">
        <v>0.07</v>
      </c>
      <c r="AF87" s="19" t="n">
        <v>0.06</v>
      </c>
      <c r="AG87" s="19" t="n">
        <v>0.13</v>
      </c>
      <c r="AH87" s="19" t="n">
        <v>0.17</v>
      </c>
      <c r="AI87" s="19" t="n">
        <v>0.07</v>
      </c>
      <c r="AJ87" s="19" t="n">
        <v>0</v>
      </c>
      <c r="AK87" s="19" t="n">
        <v>0</v>
      </c>
      <c r="AL87" s="19" t="n">
        <v>0.1</v>
      </c>
      <c r="AM87" s="19" t="n">
        <v>0.2</v>
      </c>
      <c r="AN87" s="19" t="n">
        <v>0.1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9" t="n">
        <v>0</v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20" t="n">
        <f aca="false">SUM(D87:BC87)</f>
        <v>1.4</v>
      </c>
    </row>
    <row r="88" customFormat="false" ht="15" hidden="false" customHeight="false" outlineLevel="0" collapsed="false">
      <c r="A88" s="5" t="s">
        <v>264</v>
      </c>
      <c r="B88" s="5" t="s">
        <v>45</v>
      </c>
      <c r="C88" s="5" t="s">
        <v>179</v>
      </c>
      <c r="D88" s="19" t="n">
        <v>0</v>
      </c>
      <c r="E88" s="19" t="n">
        <v>0</v>
      </c>
      <c r="F88" s="19" t="n">
        <v>0</v>
      </c>
      <c r="G88" s="19" t="n">
        <v>0</v>
      </c>
      <c r="H88" s="19" t="n">
        <v>0</v>
      </c>
      <c r="I88" s="19" t="n">
        <v>0</v>
      </c>
      <c r="J88" s="19" t="n">
        <v>0</v>
      </c>
      <c r="K88" s="19" t="n">
        <v>0</v>
      </c>
      <c r="L88" s="19" t="n">
        <v>0</v>
      </c>
      <c r="M88" s="19" t="n">
        <v>0</v>
      </c>
      <c r="N88" s="19" t="n">
        <v>0</v>
      </c>
      <c r="O88" s="19" t="n">
        <v>0</v>
      </c>
      <c r="P88" s="19" t="n">
        <v>0</v>
      </c>
      <c r="Q88" s="19" t="n">
        <v>0</v>
      </c>
      <c r="R88" s="19" t="n">
        <v>0</v>
      </c>
      <c r="S88" s="19" t="n">
        <v>0</v>
      </c>
      <c r="T88" s="19" t="n">
        <v>0</v>
      </c>
      <c r="U88" s="19" t="n">
        <v>0</v>
      </c>
      <c r="V88" s="19" t="n">
        <v>0</v>
      </c>
      <c r="W88" s="19" t="n">
        <v>0</v>
      </c>
      <c r="X88" s="19" t="n">
        <v>0.08</v>
      </c>
      <c r="Y88" s="19" t="n">
        <v>0.25</v>
      </c>
      <c r="Z88" s="19" t="n">
        <v>0.26</v>
      </c>
      <c r="AA88" s="19" t="n">
        <v>0.17</v>
      </c>
      <c r="AB88" s="19" t="n">
        <v>0.16</v>
      </c>
      <c r="AC88" s="19" t="n">
        <v>0.08</v>
      </c>
      <c r="AD88" s="19" t="n">
        <v>0.17</v>
      </c>
      <c r="AE88" s="19" t="n">
        <v>0.34</v>
      </c>
      <c r="AF88" s="19" t="n">
        <v>0.17</v>
      </c>
      <c r="AG88" s="19" t="n">
        <v>0</v>
      </c>
      <c r="AH88" s="19" t="n">
        <v>0</v>
      </c>
      <c r="AI88" s="19" t="n">
        <v>0.12</v>
      </c>
      <c r="AJ88" s="19" t="n">
        <v>0.23</v>
      </c>
      <c r="AK88" s="19" t="n">
        <v>0.12</v>
      </c>
      <c r="AL88" s="19" t="n">
        <v>0</v>
      </c>
      <c r="AM88" s="19" t="n">
        <v>0</v>
      </c>
      <c r="AN88" s="19" t="n">
        <v>0</v>
      </c>
      <c r="AO88" s="19" t="n">
        <v>0</v>
      </c>
      <c r="AP88" s="19" t="n">
        <v>0</v>
      </c>
      <c r="AQ88" s="19" t="n">
        <v>0</v>
      </c>
      <c r="AR88" s="19" t="n">
        <v>0</v>
      </c>
      <c r="AS88" s="19" t="n">
        <v>0</v>
      </c>
      <c r="AT88" s="19" t="n">
        <v>0</v>
      </c>
      <c r="AU88" s="19" t="n">
        <v>0</v>
      </c>
      <c r="AV88" s="19" t="n">
        <v>0</v>
      </c>
      <c r="AW88" s="19" t="n">
        <v>0</v>
      </c>
      <c r="AX88" s="19" t="n">
        <v>0</v>
      </c>
      <c r="AY88" s="19" t="n">
        <v>0</v>
      </c>
      <c r="AZ88" s="19" t="n">
        <v>0</v>
      </c>
      <c r="BA88" s="19" t="n">
        <v>0</v>
      </c>
      <c r="BB88" s="19" t="n">
        <v>0</v>
      </c>
      <c r="BC88" s="19" t="n">
        <v>0</v>
      </c>
      <c r="BD88" s="20" t="n">
        <f aca="false">SUM(D88:BC88)</f>
        <v>2.15</v>
      </c>
    </row>
    <row r="89" customFormat="false" ht="15" hidden="false" customHeight="false" outlineLevel="0" collapsed="false">
      <c r="A89" s="5" t="s">
        <v>265</v>
      </c>
      <c r="B89" s="5" t="s">
        <v>62</v>
      </c>
      <c r="C89" s="5" t="s">
        <v>179</v>
      </c>
      <c r="D89" s="19" t="n">
        <v>0</v>
      </c>
      <c r="E89" s="19" t="n">
        <v>0</v>
      </c>
      <c r="F89" s="19" t="n">
        <v>0</v>
      </c>
      <c r="G89" s="19" t="n">
        <v>0</v>
      </c>
      <c r="H89" s="19" t="n">
        <v>0</v>
      </c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0</v>
      </c>
      <c r="O89" s="19" t="n">
        <v>0</v>
      </c>
      <c r="P89" s="19" t="n">
        <v>0</v>
      </c>
      <c r="Q89" s="19" t="n">
        <v>0</v>
      </c>
      <c r="R89" s="19" t="n">
        <v>0.06</v>
      </c>
      <c r="S89" s="19" t="n">
        <v>0.2</v>
      </c>
      <c r="T89" s="19" t="n">
        <v>0.24</v>
      </c>
      <c r="U89" s="19" t="n">
        <v>0.09</v>
      </c>
      <c r="V89" s="19" t="n">
        <v>0.09</v>
      </c>
      <c r="W89" s="19" t="n">
        <v>0.27</v>
      </c>
      <c r="X89" s="19" t="n">
        <v>0.27</v>
      </c>
      <c r="Y89" s="19" t="n">
        <v>0.09</v>
      </c>
      <c r="Z89" s="19" t="n">
        <v>0.09</v>
      </c>
      <c r="AA89" s="19" t="n">
        <v>0.18</v>
      </c>
      <c r="AB89" s="19" t="n">
        <v>0.09</v>
      </c>
      <c r="AC89" s="19" t="n">
        <v>0</v>
      </c>
      <c r="AD89" s="19" t="n">
        <v>0</v>
      </c>
      <c r="AE89" s="19" t="n">
        <v>0</v>
      </c>
      <c r="AF89" s="19" t="n">
        <v>0</v>
      </c>
      <c r="AG89" s="19" t="n">
        <v>0</v>
      </c>
      <c r="AH89" s="19" t="n">
        <v>0</v>
      </c>
      <c r="AI89" s="19" t="n">
        <v>0</v>
      </c>
      <c r="AJ89" s="19" t="n">
        <v>0</v>
      </c>
      <c r="AK89" s="19" t="n">
        <v>0</v>
      </c>
      <c r="AL89" s="19" t="n">
        <v>0</v>
      </c>
      <c r="AM89" s="19" t="n">
        <v>0</v>
      </c>
      <c r="AN89" s="19" t="n">
        <v>0</v>
      </c>
      <c r="AO89" s="19" t="n">
        <v>0</v>
      </c>
      <c r="AP89" s="19" t="n">
        <v>0</v>
      </c>
      <c r="AQ89" s="19" t="n">
        <v>0</v>
      </c>
      <c r="AR89" s="19" t="n">
        <v>0</v>
      </c>
      <c r="AS89" s="19" t="n">
        <v>0</v>
      </c>
      <c r="AT89" s="19" t="n">
        <v>0</v>
      </c>
      <c r="AU89" s="19" t="n">
        <v>0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20" t="n">
        <f aca="false">SUM(D89:BC89)</f>
        <v>1.67</v>
      </c>
    </row>
    <row r="90" customFormat="false" ht="15" hidden="false" customHeight="false" outlineLevel="0" collapsed="false">
      <c r="A90" s="5" t="s">
        <v>266</v>
      </c>
      <c r="B90" s="5" t="s">
        <v>69</v>
      </c>
      <c r="C90" s="5" t="s">
        <v>179</v>
      </c>
      <c r="D90" s="19" t="n">
        <v>0</v>
      </c>
      <c r="E90" s="19" t="n">
        <v>0</v>
      </c>
      <c r="F90" s="19" t="n">
        <v>0</v>
      </c>
      <c r="G90" s="19" t="n">
        <v>0</v>
      </c>
      <c r="H90" s="19" t="n">
        <v>0</v>
      </c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0</v>
      </c>
      <c r="O90" s="19" t="n">
        <v>0</v>
      </c>
      <c r="P90" s="19" t="n">
        <v>0</v>
      </c>
      <c r="Q90" s="19" t="n">
        <v>0</v>
      </c>
      <c r="R90" s="19" t="n">
        <v>0</v>
      </c>
      <c r="S90" s="19" t="n">
        <v>0</v>
      </c>
      <c r="T90" s="19" t="n">
        <v>0</v>
      </c>
      <c r="U90" s="19" t="n">
        <v>0</v>
      </c>
      <c r="V90" s="19" t="n">
        <v>0.06</v>
      </c>
      <c r="W90" s="19" t="n">
        <v>0.11</v>
      </c>
      <c r="X90" s="19" t="n">
        <v>0.06</v>
      </c>
      <c r="Y90" s="19" t="n">
        <v>0.23</v>
      </c>
      <c r="Z90" s="19" t="n">
        <v>0.54</v>
      </c>
      <c r="AA90" s="19" t="n">
        <v>0.5</v>
      </c>
      <c r="AB90" s="19" t="n">
        <v>0.27</v>
      </c>
      <c r="AC90" s="19" t="n">
        <v>0.09</v>
      </c>
      <c r="AD90" s="19" t="n">
        <v>0</v>
      </c>
      <c r="AE90" s="19" t="n">
        <v>0</v>
      </c>
      <c r="AF90" s="19" t="n">
        <v>0.08</v>
      </c>
      <c r="AG90" s="19" t="n">
        <v>0.17</v>
      </c>
      <c r="AH90" s="19" t="n">
        <v>0.08</v>
      </c>
      <c r="AI90" s="19" t="n">
        <v>0</v>
      </c>
      <c r="AJ90" s="19" t="n">
        <v>0</v>
      </c>
      <c r="AK90" s="19" t="n">
        <v>0</v>
      </c>
      <c r="AL90" s="19" t="n">
        <v>0</v>
      </c>
      <c r="AM90" s="19" t="n">
        <v>0.05</v>
      </c>
      <c r="AN90" s="19" t="n">
        <v>0.1</v>
      </c>
      <c r="AO90" s="19" t="n">
        <v>0.05</v>
      </c>
      <c r="AP90" s="19" t="n">
        <v>0</v>
      </c>
      <c r="AQ90" s="19" t="n">
        <v>0</v>
      </c>
      <c r="AR90" s="19" t="n">
        <v>0</v>
      </c>
      <c r="AS90" s="19" t="n">
        <v>0</v>
      </c>
      <c r="AT90" s="19" t="n">
        <v>0</v>
      </c>
      <c r="AU90" s="19" t="n">
        <v>0</v>
      </c>
      <c r="AV90" s="19" t="n">
        <v>0</v>
      </c>
      <c r="AW90" s="19" t="n">
        <v>0</v>
      </c>
      <c r="AX90" s="19" t="n">
        <v>0</v>
      </c>
      <c r="AY90" s="19" t="n">
        <v>0</v>
      </c>
      <c r="AZ90" s="19" t="n">
        <v>0</v>
      </c>
      <c r="BA90" s="19" t="n">
        <v>0</v>
      </c>
      <c r="BB90" s="19" t="n">
        <v>0</v>
      </c>
      <c r="BC90" s="19" t="n">
        <v>0</v>
      </c>
      <c r="BD90" s="20" t="n">
        <f aca="false">SUM(D90:BC90)</f>
        <v>2.39</v>
      </c>
    </row>
    <row r="91" customFormat="false" ht="15" hidden="false" customHeight="false" outlineLevel="0" collapsed="false">
      <c r="A91" s="5" t="s">
        <v>267</v>
      </c>
      <c r="B91" s="5" t="s">
        <v>62</v>
      </c>
      <c r="C91" s="5" t="s">
        <v>179</v>
      </c>
      <c r="D91" s="19" t="n">
        <v>0</v>
      </c>
      <c r="E91" s="19" t="n">
        <v>0</v>
      </c>
      <c r="F91" s="19" t="n">
        <v>0</v>
      </c>
      <c r="G91" s="19" t="n">
        <v>0</v>
      </c>
      <c r="H91" s="19" t="n">
        <v>0</v>
      </c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0.16</v>
      </c>
      <c r="O91" s="19" t="n">
        <v>0.32</v>
      </c>
      <c r="P91" s="19" t="n">
        <v>0.16</v>
      </c>
      <c r="Q91" s="19" t="n">
        <v>0</v>
      </c>
      <c r="R91" s="19" t="n">
        <v>0</v>
      </c>
      <c r="S91" s="19" t="n">
        <v>0</v>
      </c>
      <c r="T91" s="19" t="n">
        <v>0.08</v>
      </c>
      <c r="U91" s="19" t="n">
        <v>0.16</v>
      </c>
      <c r="V91" s="19" t="n">
        <v>0.08</v>
      </c>
      <c r="W91" s="19" t="n">
        <v>0.08</v>
      </c>
      <c r="X91" s="19" t="n">
        <v>0.24</v>
      </c>
      <c r="Y91" s="19" t="n">
        <v>0.24</v>
      </c>
      <c r="Z91" s="19" t="n">
        <v>0.08</v>
      </c>
      <c r="AA91" s="19" t="n">
        <v>0</v>
      </c>
      <c r="AB91" s="19" t="n">
        <v>0.08</v>
      </c>
      <c r="AC91" s="19" t="n">
        <v>0.16</v>
      </c>
      <c r="AD91" s="19" t="n">
        <v>0.08</v>
      </c>
      <c r="AE91" s="19" t="n">
        <v>0</v>
      </c>
      <c r="AF91" s="19" t="n">
        <v>0.12</v>
      </c>
      <c r="AG91" s="19" t="n">
        <v>0.23</v>
      </c>
      <c r="AH91" s="19" t="n">
        <v>0.12</v>
      </c>
      <c r="AI91" s="19" t="n">
        <v>0</v>
      </c>
      <c r="AJ91" s="19" t="n">
        <v>0</v>
      </c>
      <c r="AK91" s="19" t="n">
        <v>0</v>
      </c>
      <c r="AL91" s="19" t="n">
        <v>0</v>
      </c>
      <c r="AM91" s="19" t="n">
        <v>0</v>
      </c>
      <c r="AN91" s="19" t="n">
        <v>0</v>
      </c>
      <c r="AO91" s="19" t="n">
        <v>0</v>
      </c>
      <c r="AP91" s="19" t="n">
        <v>0</v>
      </c>
      <c r="AQ91" s="19" t="n">
        <v>0</v>
      </c>
      <c r="AR91" s="19" t="n">
        <v>0</v>
      </c>
      <c r="AS91" s="19" t="n">
        <v>0</v>
      </c>
      <c r="AT91" s="19" t="n">
        <v>0</v>
      </c>
      <c r="AU91" s="19" t="n">
        <v>0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20" t="n">
        <f aca="false">SUM(D91:BC91)</f>
        <v>2.39</v>
      </c>
    </row>
    <row r="92" customFormat="false" ht="15" hidden="false" customHeight="false" outlineLevel="0" collapsed="false">
      <c r="A92" s="5" t="s">
        <v>268</v>
      </c>
      <c r="B92" s="5" t="s">
        <v>45</v>
      </c>
      <c r="C92" s="5" t="s">
        <v>179</v>
      </c>
      <c r="D92" s="19" t="n">
        <v>0.08</v>
      </c>
      <c r="E92" s="19" t="n">
        <v>0.16</v>
      </c>
      <c r="F92" s="19" t="n">
        <v>0.08</v>
      </c>
      <c r="G92" s="19" t="n">
        <v>0</v>
      </c>
      <c r="H92" s="19" t="n">
        <v>0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  <c r="O92" s="19" t="n">
        <v>0</v>
      </c>
      <c r="P92" s="19" t="n">
        <v>0</v>
      </c>
      <c r="Q92" s="19" t="n">
        <v>0.15</v>
      </c>
      <c r="R92" s="19" t="n">
        <v>0.29</v>
      </c>
      <c r="S92" s="19" t="n">
        <v>0.2</v>
      </c>
      <c r="T92" s="19" t="n">
        <v>0.11</v>
      </c>
      <c r="U92" s="19" t="n">
        <v>0.06</v>
      </c>
      <c r="V92" s="19" t="n">
        <v>0</v>
      </c>
      <c r="W92" s="19" t="n">
        <v>0.15</v>
      </c>
      <c r="X92" s="19" t="n">
        <v>0.56</v>
      </c>
      <c r="Y92" s="19" t="n">
        <v>0.69</v>
      </c>
      <c r="Z92" s="19" t="n">
        <v>0.36</v>
      </c>
      <c r="AA92" s="19" t="n">
        <v>0.18</v>
      </c>
      <c r="AB92" s="19" t="n">
        <v>0.09</v>
      </c>
      <c r="AC92" s="19" t="n">
        <v>0</v>
      </c>
      <c r="AD92" s="19" t="n">
        <v>0.09</v>
      </c>
      <c r="AE92" s="19" t="n">
        <v>0.3</v>
      </c>
      <c r="AF92" s="19" t="n">
        <v>0.32</v>
      </c>
      <c r="AG92" s="19" t="n">
        <v>0.12</v>
      </c>
      <c r="AH92" s="19" t="n">
        <v>0</v>
      </c>
      <c r="AI92" s="19" t="n">
        <v>0.12</v>
      </c>
      <c r="AJ92" s="19" t="n">
        <v>0.23</v>
      </c>
      <c r="AK92" s="19" t="n">
        <v>0.12</v>
      </c>
      <c r="AL92" s="19" t="n">
        <v>0</v>
      </c>
      <c r="AM92" s="19" t="n">
        <v>0</v>
      </c>
      <c r="AN92" s="19" t="n">
        <v>0</v>
      </c>
      <c r="AO92" s="19" t="n">
        <v>0</v>
      </c>
      <c r="AP92" s="19" t="n">
        <v>0</v>
      </c>
      <c r="AQ92" s="19" t="n">
        <v>0</v>
      </c>
      <c r="AR92" s="19" t="n">
        <v>0</v>
      </c>
      <c r="AS92" s="19" t="n">
        <v>0</v>
      </c>
      <c r="AT92" s="19" t="n">
        <v>0</v>
      </c>
      <c r="AU92" s="19" t="n">
        <v>0</v>
      </c>
      <c r="AV92" s="19" t="n">
        <v>0</v>
      </c>
      <c r="AW92" s="19" t="n">
        <v>0</v>
      </c>
      <c r="AX92" s="19" t="n">
        <v>0</v>
      </c>
      <c r="AY92" s="19" t="n">
        <v>0</v>
      </c>
      <c r="AZ92" s="19" t="n">
        <v>0</v>
      </c>
      <c r="BA92" s="19" t="n">
        <v>0</v>
      </c>
      <c r="BB92" s="19" t="n">
        <v>0</v>
      </c>
      <c r="BC92" s="19" t="n">
        <v>0</v>
      </c>
      <c r="BD92" s="20" t="n">
        <f aca="false">SUM(D92:BC92)</f>
        <v>4.46</v>
      </c>
    </row>
    <row r="93" customFormat="false" ht="15" hidden="false" customHeight="false" outlineLevel="0" collapsed="false">
      <c r="A93" s="5" t="s">
        <v>269</v>
      </c>
      <c r="B93" s="5" t="s">
        <v>45</v>
      </c>
      <c r="C93" s="5" t="s">
        <v>179</v>
      </c>
      <c r="D93" s="19" t="n">
        <v>0</v>
      </c>
      <c r="E93" s="19" t="n">
        <v>0</v>
      </c>
      <c r="F93" s="19" t="n">
        <v>0</v>
      </c>
      <c r="G93" s="19" t="n">
        <v>0</v>
      </c>
      <c r="H93" s="19" t="n">
        <v>0</v>
      </c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0</v>
      </c>
      <c r="O93" s="19" t="n">
        <v>0</v>
      </c>
      <c r="P93" s="19" t="n">
        <v>0</v>
      </c>
      <c r="Q93" s="19" t="n">
        <v>0</v>
      </c>
      <c r="R93" s="19" t="n">
        <v>0</v>
      </c>
      <c r="S93" s="19" t="n">
        <v>0</v>
      </c>
      <c r="T93" s="19" t="n">
        <v>0</v>
      </c>
      <c r="U93" s="19" t="n">
        <v>0.02</v>
      </c>
      <c r="V93" s="19" t="n">
        <v>0.05</v>
      </c>
      <c r="W93" s="19" t="n">
        <v>0.02</v>
      </c>
      <c r="X93" s="19" t="n">
        <v>0</v>
      </c>
      <c r="Y93" s="19" t="n">
        <v>0</v>
      </c>
      <c r="Z93" s="19" t="n">
        <v>0</v>
      </c>
      <c r="AA93" s="19" t="n">
        <v>0</v>
      </c>
      <c r="AB93" s="19" t="n">
        <v>0</v>
      </c>
      <c r="AC93" s="19" t="n">
        <v>0.08</v>
      </c>
      <c r="AD93" s="19" t="n">
        <v>0.16</v>
      </c>
      <c r="AE93" s="19" t="n">
        <v>0.08</v>
      </c>
      <c r="AF93" s="19" t="n">
        <v>0</v>
      </c>
      <c r="AG93" s="19" t="n">
        <v>0</v>
      </c>
      <c r="AH93" s="19" t="n">
        <v>0</v>
      </c>
      <c r="AI93" s="19" t="n">
        <v>0</v>
      </c>
      <c r="AJ93" s="19" t="n">
        <v>0</v>
      </c>
      <c r="AK93" s="19" t="n">
        <v>0</v>
      </c>
      <c r="AL93" s="19" t="n">
        <v>0</v>
      </c>
      <c r="AM93" s="19" t="n">
        <v>0</v>
      </c>
      <c r="AN93" s="19" t="n">
        <v>0</v>
      </c>
      <c r="AO93" s="19" t="n">
        <v>0</v>
      </c>
      <c r="AP93" s="19" t="n">
        <v>0</v>
      </c>
      <c r="AQ93" s="19" t="n">
        <v>0</v>
      </c>
      <c r="AR93" s="19" t="n">
        <v>0</v>
      </c>
      <c r="AS93" s="19" t="n">
        <v>0</v>
      </c>
      <c r="AT93" s="19" t="n">
        <v>0</v>
      </c>
      <c r="AU93" s="19" t="n">
        <v>0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20" t="n">
        <f aca="false">SUM(D93:BC93)</f>
        <v>0.41</v>
      </c>
    </row>
    <row r="94" customFormat="false" ht="15" hidden="false" customHeight="false" outlineLevel="0" collapsed="false">
      <c r="A94" s="5" t="s">
        <v>270</v>
      </c>
      <c r="B94" s="5" t="s">
        <v>69</v>
      </c>
      <c r="C94" s="5" t="s">
        <v>179</v>
      </c>
      <c r="D94" s="19" t="n">
        <v>0</v>
      </c>
      <c r="E94" s="19" t="n">
        <v>0</v>
      </c>
      <c r="F94" s="19" t="n">
        <v>0</v>
      </c>
      <c r="G94" s="19" t="n">
        <v>0</v>
      </c>
      <c r="H94" s="19" t="n">
        <v>0</v>
      </c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0</v>
      </c>
      <c r="O94" s="19" t="n">
        <v>0</v>
      </c>
      <c r="P94" s="19" t="n">
        <v>0</v>
      </c>
      <c r="Q94" s="19" t="n">
        <v>0</v>
      </c>
      <c r="R94" s="19" t="n">
        <v>0</v>
      </c>
      <c r="S94" s="19" t="n">
        <v>0</v>
      </c>
      <c r="T94" s="19" t="n">
        <v>0.36</v>
      </c>
      <c r="U94" s="19" t="n">
        <v>0.81</v>
      </c>
      <c r="V94" s="19" t="n">
        <v>0.54</v>
      </c>
      <c r="W94" s="19" t="n">
        <v>0.09</v>
      </c>
      <c r="X94" s="19" t="n">
        <v>0</v>
      </c>
      <c r="Y94" s="19" t="n">
        <v>0</v>
      </c>
      <c r="Z94" s="19" t="n">
        <v>0</v>
      </c>
      <c r="AA94" s="19" t="n">
        <v>0</v>
      </c>
      <c r="AB94" s="19" t="n">
        <v>0</v>
      </c>
      <c r="AC94" s="19" t="n">
        <v>0</v>
      </c>
      <c r="AD94" s="19" t="n">
        <v>0</v>
      </c>
      <c r="AE94" s="19" t="n">
        <v>0</v>
      </c>
      <c r="AF94" s="19" t="n">
        <v>0.08</v>
      </c>
      <c r="AG94" s="19" t="n">
        <v>0.4</v>
      </c>
      <c r="AH94" s="19" t="n">
        <v>0.55</v>
      </c>
      <c r="AI94" s="19" t="n">
        <v>0.35</v>
      </c>
      <c r="AJ94" s="19" t="n">
        <v>0.23</v>
      </c>
      <c r="AK94" s="19" t="n">
        <v>0.12</v>
      </c>
      <c r="AL94" s="19" t="n">
        <v>0</v>
      </c>
      <c r="AM94" s="19" t="n">
        <v>0</v>
      </c>
      <c r="AN94" s="19" t="n">
        <v>0</v>
      </c>
      <c r="AO94" s="19" t="n">
        <v>0</v>
      </c>
      <c r="AP94" s="19" t="n">
        <v>0</v>
      </c>
      <c r="AQ94" s="19" t="n">
        <v>0</v>
      </c>
      <c r="AR94" s="19" t="n">
        <v>0</v>
      </c>
      <c r="AS94" s="19" t="n">
        <v>0</v>
      </c>
      <c r="AT94" s="19" t="n">
        <v>0</v>
      </c>
      <c r="AU94" s="19" t="n">
        <v>0</v>
      </c>
      <c r="AV94" s="19" t="n">
        <v>0</v>
      </c>
      <c r="AW94" s="19" t="n">
        <v>0</v>
      </c>
      <c r="AX94" s="19" t="n">
        <v>0</v>
      </c>
      <c r="AY94" s="19" t="n">
        <v>0</v>
      </c>
      <c r="AZ94" s="19" t="n">
        <v>0</v>
      </c>
      <c r="BA94" s="19" t="n">
        <v>0</v>
      </c>
      <c r="BB94" s="19" t="n">
        <v>0</v>
      </c>
      <c r="BC94" s="19" t="n">
        <v>0</v>
      </c>
      <c r="BD94" s="20" t="n">
        <f aca="false">SUM(D94:BC94)</f>
        <v>3.53</v>
      </c>
    </row>
    <row r="95" customFormat="false" ht="15" hidden="false" customHeight="false" outlineLevel="0" collapsed="false">
      <c r="A95" s="5" t="s">
        <v>271</v>
      </c>
      <c r="B95" s="5" t="s">
        <v>45</v>
      </c>
      <c r="C95" s="5" t="s">
        <v>179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0.09</v>
      </c>
      <c r="R95" s="19" t="n">
        <v>0.18</v>
      </c>
      <c r="S95" s="19" t="n">
        <v>0.09</v>
      </c>
      <c r="T95" s="19" t="n">
        <v>0.06</v>
      </c>
      <c r="U95" s="19" t="n">
        <v>0.17</v>
      </c>
      <c r="V95" s="19" t="n">
        <v>0.25</v>
      </c>
      <c r="W95" s="19" t="n">
        <v>0.21</v>
      </c>
      <c r="X95" s="19" t="n">
        <v>0.16</v>
      </c>
      <c r="Y95" s="19" t="n">
        <v>0.24</v>
      </c>
      <c r="Z95" s="19" t="n">
        <v>0.32</v>
      </c>
      <c r="AA95" s="19" t="n">
        <v>0.24</v>
      </c>
      <c r="AB95" s="19" t="n">
        <v>0.08</v>
      </c>
      <c r="AC95" s="19" t="n">
        <v>0</v>
      </c>
      <c r="AD95" s="19" t="n">
        <v>0.06</v>
      </c>
      <c r="AE95" s="19" t="n">
        <v>0.11</v>
      </c>
      <c r="AF95" s="19" t="n">
        <v>0.14</v>
      </c>
      <c r="AG95" s="19" t="n">
        <v>0.17</v>
      </c>
      <c r="AH95" s="19" t="n">
        <v>0.2</v>
      </c>
      <c r="AI95" s="19" t="n">
        <v>0.23</v>
      </c>
      <c r="AJ95" s="19" t="n">
        <v>0.12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20" t="n">
        <f aca="false">SUM(D95:BC95)</f>
        <v>3.12</v>
      </c>
    </row>
    <row r="96" customFormat="false" ht="15" hidden="false" customHeight="false" outlineLevel="0" collapsed="false">
      <c r="A96" s="5" t="s">
        <v>272</v>
      </c>
      <c r="B96" s="5" t="s">
        <v>62</v>
      </c>
      <c r="C96" s="5" t="s">
        <v>179</v>
      </c>
      <c r="D96" s="19" t="n">
        <v>0</v>
      </c>
      <c r="E96" s="19" t="n">
        <v>0</v>
      </c>
      <c r="F96" s="19" t="n">
        <v>0</v>
      </c>
      <c r="G96" s="19" t="n">
        <v>0</v>
      </c>
      <c r="H96" s="19" t="n">
        <v>0</v>
      </c>
      <c r="I96" s="19" t="n">
        <v>0</v>
      </c>
      <c r="J96" s="19" t="n">
        <v>0</v>
      </c>
      <c r="K96" s="19" t="n">
        <v>0</v>
      </c>
      <c r="L96" s="19" t="n">
        <v>0</v>
      </c>
      <c r="M96" s="19" t="n">
        <v>0</v>
      </c>
      <c r="N96" s="19" t="n">
        <v>0</v>
      </c>
      <c r="O96" s="19" t="n">
        <v>0</v>
      </c>
      <c r="P96" s="19" t="n">
        <v>0</v>
      </c>
      <c r="Q96" s="19" t="n">
        <v>0</v>
      </c>
      <c r="R96" s="19" t="n">
        <v>0</v>
      </c>
      <c r="S96" s="19" t="n">
        <v>0</v>
      </c>
      <c r="T96" s="19" t="n">
        <v>0</v>
      </c>
      <c r="U96" s="19" t="n">
        <v>0</v>
      </c>
      <c r="V96" s="19" t="n">
        <v>0.03</v>
      </c>
      <c r="W96" s="19" t="n">
        <v>0.07</v>
      </c>
      <c r="X96" s="19" t="n">
        <v>0.08</v>
      </c>
      <c r="Y96" s="19" t="n">
        <v>0.09</v>
      </c>
      <c r="Z96" s="19" t="n">
        <v>0.05</v>
      </c>
      <c r="AA96" s="19" t="n">
        <v>0.11</v>
      </c>
      <c r="AB96" s="19" t="n">
        <v>0.23</v>
      </c>
      <c r="AC96" s="19" t="n">
        <v>0.21</v>
      </c>
      <c r="AD96" s="19" t="n">
        <v>0.41</v>
      </c>
      <c r="AE96" s="19" t="n">
        <v>0.51</v>
      </c>
      <c r="AF96" s="19" t="n">
        <v>0.2</v>
      </c>
      <c r="AG96" s="19" t="n">
        <v>0</v>
      </c>
      <c r="AH96" s="19" t="n">
        <v>0</v>
      </c>
      <c r="AI96" s="19" t="n">
        <v>0</v>
      </c>
      <c r="AJ96" s="19" t="n">
        <v>0</v>
      </c>
      <c r="AK96" s="19" t="n">
        <v>0</v>
      </c>
      <c r="AL96" s="19" t="n">
        <v>0</v>
      </c>
      <c r="AM96" s="19" t="n">
        <v>0</v>
      </c>
      <c r="AN96" s="19" t="n">
        <v>0</v>
      </c>
      <c r="AO96" s="19" t="n">
        <v>0</v>
      </c>
      <c r="AP96" s="19" t="n">
        <v>0</v>
      </c>
      <c r="AQ96" s="19" t="n">
        <v>0</v>
      </c>
      <c r="AR96" s="19" t="n">
        <v>0</v>
      </c>
      <c r="AS96" s="19" t="n">
        <v>0</v>
      </c>
      <c r="AT96" s="19" t="n">
        <v>0</v>
      </c>
      <c r="AU96" s="19" t="n">
        <v>0</v>
      </c>
      <c r="AV96" s="19" t="n">
        <v>0</v>
      </c>
      <c r="AW96" s="19" t="n">
        <v>0</v>
      </c>
      <c r="AX96" s="19" t="n">
        <v>0</v>
      </c>
      <c r="AY96" s="19" t="n">
        <v>0</v>
      </c>
      <c r="AZ96" s="19" t="n">
        <v>0</v>
      </c>
      <c r="BA96" s="19" t="n">
        <v>0</v>
      </c>
      <c r="BB96" s="19" t="n">
        <v>0</v>
      </c>
      <c r="BC96" s="19" t="n">
        <v>0</v>
      </c>
      <c r="BD96" s="20" t="n">
        <f aca="false">SUM(D96:BC96)</f>
        <v>1.99</v>
      </c>
    </row>
    <row r="97" customFormat="false" ht="15" hidden="false" customHeight="false" outlineLevel="0" collapsed="false">
      <c r="A97" s="5" t="s">
        <v>273</v>
      </c>
      <c r="B97" s="5" t="s">
        <v>69</v>
      </c>
      <c r="C97" s="5" t="s">
        <v>179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  <c r="P97" s="19" t="n">
        <v>0</v>
      </c>
      <c r="Q97" s="19" t="n">
        <v>0.2</v>
      </c>
      <c r="R97" s="19" t="n">
        <v>0.41</v>
      </c>
      <c r="S97" s="19" t="n">
        <v>0.2</v>
      </c>
      <c r="T97" s="19" t="n">
        <v>0</v>
      </c>
      <c r="U97" s="19" t="n">
        <v>0.08</v>
      </c>
      <c r="V97" s="19" t="n">
        <v>0.16</v>
      </c>
      <c r="W97" s="19" t="n">
        <v>0.08</v>
      </c>
      <c r="X97" s="19" t="n">
        <v>0</v>
      </c>
      <c r="Y97" s="19" t="n">
        <v>0</v>
      </c>
      <c r="Z97" s="19" t="n">
        <v>0</v>
      </c>
      <c r="AA97" s="19" t="n">
        <v>0.1</v>
      </c>
      <c r="AB97" s="19" t="n">
        <v>0.2</v>
      </c>
      <c r="AC97" s="19" t="n">
        <v>0.18</v>
      </c>
      <c r="AD97" s="19" t="n">
        <v>0.16</v>
      </c>
      <c r="AE97" s="19" t="n">
        <v>0.08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20" t="n">
        <f aca="false">SUM(D97:BC97)</f>
        <v>1.85</v>
      </c>
    </row>
    <row r="98" customFormat="false" ht="15" hidden="false" customHeight="false" outlineLevel="0" collapsed="false">
      <c r="A98" s="5" t="s">
        <v>274</v>
      </c>
      <c r="B98" s="5" t="s">
        <v>69</v>
      </c>
      <c r="C98" s="5" t="s">
        <v>179</v>
      </c>
      <c r="D98" s="19" t="n">
        <v>0</v>
      </c>
      <c r="E98" s="19" t="n">
        <v>0</v>
      </c>
      <c r="F98" s="19" t="n">
        <v>0</v>
      </c>
      <c r="G98" s="19" t="n">
        <v>0</v>
      </c>
      <c r="H98" s="19" t="n">
        <v>0</v>
      </c>
      <c r="I98" s="19" t="n">
        <v>0</v>
      </c>
      <c r="J98" s="19" t="n">
        <v>0</v>
      </c>
      <c r="K98" s="19" t="n">
        <v>0</v>
      </c>
      <c r="L98" s="19" t="n">
        <v>0</v>
      </c>
      <c r="M98" s="19" t="n">
        <v>0</v>
      </c>
      <c r="N98" s="19" t="n">
        <v>0</v>
      </c>
      <c r="O98" s="19" t="n">
        <v>0</v>
      </c>
      <c r="P98" s="19" t="n">
        <v>0</v>
      </c>
      <c r="Q98" s="19" t="n">
        <v>0</v>
      </c>
      <c r="R98" s="19" t="n">
        <v>0</v>
      </c>
      <c r="S98" s="19" t="n">
        <v>0</v>
      </c>
      <c r="T98" s="19" t="n">
        <v>0</v>
      </c>
      <c r="U98" s="19" t="n">
        <v>0</v>
      </c>
      <c r="V98" s="19" t="n">
        <v>0</v>
      </c>
      <c r="W98" s="19" t="n">
        <v>0</v>
      </c>
      <c r="X98" s="19" t="n">
        <v>0.02</v>
      </c>
      <c r="Y98" s="19" t="n">
        <v>0.05</v>
      </c>
      <c r="Z98" s="19" t="n">
        <v>0.11</v>
      </c>
      <c r="AA98" s="19" t="n">
        <v>0.45</v>
      </c>
      <c r="AB98" s="19" t="n">
        <v>0.72</v>
      </c>
      <c r="AC98" s="19" t="n">
        <v>0.45</v>
      </c>
      <c r="AD98" s="19" t="n">
        <v>0.27</v>
      </c>
      <c r="AE98" s="19" t="n">
        <v>0.36</v>
      </c>
      <c r="AF98" s="19" t="n">
        <v>0.21</v>
      </c>
      <c r="AG98" s="19" t="n">
        <v>0.07</v>
      </c>
      <c r="AH98" s="19" t="n">
        <v>0.03</v>
      </c>
      <c r="AI98" s="19" t="n">
        <v>0</v>
      </c>
      <c r="AJ98" s="19" t="n">
        <v>0</v>
      </c>
      <c r="AK98" s="19" t="n">
        <v>0</v>
      </c>
      <c r="AL98" s="19" t="n">
        <v>0</v>
      </c>
      <c r="AM98" s="19" t="n">
        <v>0</v>
      </c>
      <c r="AN98" s="19" t="n">
        <v>0</v>
      </c>
      <c r="AO98" s="19" t="n">
        <v>0</v>
      </c>
      <c r="AP98" s="19" t="n">
        <v>0</v>
      </c>
      <c r="AQ98" s="19" t="n">
        <v>0</v>
      </c>
      <c r="AR98" s="19" t="n">
        <v>0</v>
      </c>
      <c r="AS98" s="19" t="n">
        <v>0</v>
      </c>
      <c r="AT98" s="19" t="n">
        <v>0</v>
      </c>
      <c r="AU98" s="19" t="n">
        <v>0</v>
      </c>
      <c r="AV98" s="19" t="n">
        <v>0</v>
      </c>
      <c r="AW98" s="19" t="n">
        <v>0</v>
      </c>
      <c r="AX98" s="19" t="n">
        <v>0</v>
      </c>
      <c r="AY98" s="19" t="n">
        <v>0</v>
      </c>
      <c r="AZ98" s="19" t="n">
        <v>0</v>
      </c>
      <c r="BA98" s="19" t="n">
        <v>0</v>
      </c>
      <c r="BB98" s="19" t="n">
        <v>0</v>
      </c>
      <c r="BC98" s="19" t="n">
        <v>0</v>
      </c>
      <c r="BD98" s="20" t="n">
        <f aca="false">SUM(D98:BC98)</f>
        <v>2.74</v>
      </c>
    </row>
    <row r="99" customFormat="false" ht="15" hidden="false" customHeight="false" outlineLevel="0" collapsed="false">
      <c r="A99" s="5" t="s">
        <v>275</v>
      </c>
      <c r="B99" s="5" t="s">
        <v>45</v>
      </c>
      <c r="C99" s="5" t="s">
        <v>179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9" t="n">
        <v>0</v>
      </c>
      <c r="R99" s="19" t="n">
        <v>0</v>
      </c>
      <c r="S99" s="19" t="n">
        <v>0</v>
      </c>
      <c r="T99" s="19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9" t="n">
        <v>0</v>
      </c>
      <c r="AA99" s="19" t="n">
        <v>0</v>
      </c>
      <c r="AB99" s="19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  <c r="AG99" s="19" t="n">
        <v>0.08</v>
      </c>
      <c r="AH99" s="19" t="n">
        <v>0.17</v>
      </c>
      <c r="AI99" s="19" t="n">
        <v>0.08</v>
      </c>
      <c r="AJ99" s="19" t="n">
        <v>0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20" t="n">
        <f aca="false">SUM(D99:BC99)</f>
        <v>0.33</v>
      </c>
    </row>
    <row r="100" customFormat="false" ht="15" hidden="false" customHeight="false" outlineLevel="0" collapsed="false">
      <c r="A100" s="5" t="s">
        <v>276</v>
      </c>
      <c r="B100" s="5" t="s">
        <v>45</v>
      </c>
      <c r="C100" s="5" t="s">
        <v>179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0.08</v>
      </c>
      <c r="R100" s="19" t="n">
        <v>0.16</v>
      </c>
      <c r="S100" s="19" t="n">
        <v>0.08</v>
      </c>
      <c r="T100" s="19" t="n">
        <v>0</v>
      </c>
      <c r="U100" s="19" t="n">
        <v>0</v>
      </c>
      <c r="V100" s="19" t="n">
        <v>0</v>
      </c>
      <c r="W100" s="19" t="n">
        <v>0.08</v>
      </c>
      <c r="X100" s="19" t="n">
        <v>0.16</v>
      </c>
      <c r="Y100" s="19" t="n">
        <v>0.08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20" t="n">
        <f aca="false">SUM(D100:BC100)</f>
        <v>0.64</v>
      </c>
    </row>
    <row r="101" customFormat="false" ht="15" hidden="false" customHeight="false" outlineLevel="0" collapsed="false">
      <c r="A101" s="5" t="s">
        <v>277</v>
      </c>
      <c r="B101" s="5" t="s">
        <v>45</v>
      </c>
      <c r="C101" s="5" t="s">
        <v>179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0.06</v>
      </c>
      <c r="Q101" s="19" t="n">
        <v>0.33</v>
      </c>
      <c r="R101" s="19" t="n">
        <v>0.56</v>
      </c>
      <c r="S101" s="19" t="n">
        <v>0.42</v>
      </c>
      <c r="T101" s="19" t="n">
        <v>0.34</v>
      </c>
      <c r="U101" s="19" t="n">
        <v>0.54</v>
      </c>
      <c r="V101" s="19" t="n">
        <v>0.55</v>
      </c>
      <c r="W101" s="19" t="n">
        <v>0.32</v>
      </c>
      <c r="X101" s="19" t="n">
        <v>0.25</v>
      </c>
      <c r="Y101" s="19" t="n">
        <v>0.29</v>
      </c>
      <c r="Z101" s="19" t="n">
        <v>0.29</v>
      </c>
      <c r="AA101" s="19" t="n">
        <v>0.5</v>
      </c>
      <c r="AB101" s="19" t="n">
        <v>0.6</v>
      </c>
      <c r="AC101" s="19" t="n">
        <v>0.34</v>
      </c>
      <c r="AD101" s="19" t="n">
        <v>0.21</v>
      </c>
      <c r="AE101" s="19" t="n">
        <v>0.35</v>
      </c>
      <c r="AF101" s="19" t="n">
        <v>0.33</v>
      </c>
      <c r="AG101" s="19" t="n">
        <v>0.15</v>
      </c>
      <c r="AH101" s="19" t="n">
        <v>0.47</v>
      </c>
      <c r="AI101" s="19" t="n">
        <v>0.95</v>
      </c>
      <c r="AJ101" s="19" t="n">
        <v>0.6</v>
      </c>
      <c r="AK101" s="19" t="n">
        <v>0.08</v>
      </c>
      <c r="AL101" s="19" t="n">
        <v>0</v>
      </c>
      <c r="AM101" s="19" t="n">
        <v>0.12</v>
      </c>
      <c r="AN101" s="19" t="n">
        <v>0.27</v>
      </c>
      <c r="AO101" s="19" t="n">
        <v>0.18</v>
      </c>
      <c r="AP101" s="19" t="n">
        <v>0.03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0.08</v>
      </c>
      <c r="AV101" s="19" t="n">
        <v>0.17</v>
      </c>
      <c r="AW101" s="19" t="n">
        <v>0.08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20" t="n">
        <f aca="false">SUM(D101:BC101)</f>
        <v>9.46</v>
      </c>
    </row>
    <row r="102" customFormat="false" ht="15" hidden="false" customHeight="false" outlineLevel="0" collapsed="false">
      <c r="A102" s="5" t="s">
        <v>278</v>
      </c>
      <c r="B102" s="5" t="s">
        <v>57</v>
      </c>
      <c r="C102" s="5" t="s">
        <v>179</v>
      </c>
      <c r="D102" s="19" t="n">
        <v>0</v>
      </c>
      <c r="E102" s="19" t="n">
        <v>0</v>
      </c>
      <c r="F102" s="19" t="n">
        <v>0</v>
      </c>
      <c r="G102" s="19" t="n">
        <v>0</v>
      </c>
      <c r="H102" s="19" t="n">
        <v>0</v>
      </c>
      <c r="I102" s="19" t="n">
        <v>0</v>
      </c>
      <c r="J102" s="19" t="n">
        <v>0</v>
      </c>
      <c r="K102" s="19" t="n">
        <v>0</v>
      </c>
      <c r="L102" s="19" t="n">
        <v>0</v>
      </c>
      <c r="M102" s="19" t="n">
        <v>0</v>
      </c>
      <c r="N102" s="19" t="n">
        <v>0</v>
      </c>
      <c r="O102" s="19" t="n">
        <v>0</v>
      </c>
      <c r="P102" s="19" t="n">
        <v>0</v>
      </c>
      <c r="Q102" s="19" t="n">
        <v>0</v>
      </c>
      <c r="R102" s="19" t="n">
        <v>0</v>
      </c>
      <c r="S102" s="19" t="n">
        <v>0</v>
      </c>
      <c r="T102" s="19" t="n">
        <v>0</v>
      </c>
      <c r="U102" s="19" t="n">
        <v>0</v>
      </c>
      <c r="V102" s="19" t="n">
        <v>0</v>
      </c>
      <c r="W102" s="19" t="n">
        <v>0</v>
      </c>
      <c r="X102" s="19" t="n">
        <v>0.09</v>
      </c>
      <c r="Y102" s="19" t="n">
        <v>0.18</v>
      </c>
      <c r="Z102" s="19" t="n">
        <v>0.09</v>
      </c>
      <c r="AA102" s="19" t="n">
        <v>0</v>
      </c>
      <c r="AB102" s="19" t="n">
        <v>0</v>
      </c>
      <c r="AC102" s="19" t="n">
        <v>0.18</v>
      </c>
      <c r="AD102" s="19" t="n">
        <v>0.36</v>
      </c>
      <c r="AE102" s="19" t="n">
        <v>0.18</v>
      </c>
      <c r="AF102" s="19" t="n">
        <v>0.08</v>
      </c>
      <c r="AG102" s="19" t="n">
        <v>0.17</v>
      </c>
      <c r="AH102" s="19" t="n">
        <v>0.08</v>
      </c>
      <c r="AI102" s="19" t="n">
        <v>0</v>
      </c>
      <c r="AJ102" s="19" t="n">
        <v>0</v>
      </c>
      <c r="AK102" s="19" t="n">
        <v>0</v>
      </c>
      <c r="AL102" s="19" t="n">
        <v>0</v>
      </c>
      <c r="AM102" s="19" t="n">
        <v>0</v>
      </c>
      <c r="AN102" s="19" t="n">
        <v>0</v>
      </c>
      <c r="AO102" s="19" t="n">
        <v>0</v>
      </c>
      <c r="AP102" s="19" t="n">
        <v>0</v>
      </c>
      <c r="AQ102" s="19" t="n">
        <v>0</v>
      </c>
      <c r="AR102" s="19" t="n">
        <v>0</v>
      </c>
      <c r="AS102" s="19" t="n">
        <v>0</v>
      </c>
      <c r="AT102" s="19" t="n">
        <v>0</v>
      </c>
      <c r="AU102" s="19" t="n">
        <v>0</v>
      </c>
      <c r="AV102" s="19" t="n">
        <v>0</v>
      </c>
      <c r="AW102" s="19" t="n">
        <v>0</v>
      </c>
      <c r="AX102" s="19" t="n">
        <v>0</v>
      </c>
      <c r="AY102" s="19" t="n">
        <v>0</v>
      </c>
      <c r="AZ102" s="19" t="n">
        <v>0</v>
      </c>
      <c r="BA102" s="19" t="n">
        <v>0</v>
      </c>
      <c r="BB102" s="19" t="n">
        <v>0</v>
      </c>
      <c r="BC102" s="19" t="n">
        <v>0</v>
      </c>
      <c r="BD102" s="20" t="n">
        <f aca="false">SUM(D102:BC102)</f>
        <v>1.41</v>
      </c>
    </row>
    <row r="103" customFormat="false" ht="15" hidden="false" customHeight="false" outlineLevel="0" collapsed="false">
      <c r="A103" s="5" t="s">
        <v>279</v>
      </c>
      <c r="B103" s="5" t="s">
        <v>62</v>
      </c>
      <c r="C103" s="5" t="s">
        <v>179</v>
      </c>
      <c r="D103" s="19" t="n">
        <v>0</v>
      </c>
      <c r="E103" s="19" t="n">
        <v>0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0.06</v>
      </c>
      <c r="O103" s="19" t="n">
        <v>0.11</v>
      </c>
      <c r="P103" s="19" t="n">
        <v>0.11</v>
      </c>
      <c r="Q103" s="19" t="n">
        <v>0.11</v>
      </c>
      <c r="R103" s="19" t="n">
        <v>0.06</v>
      </c>
      <c r="S103" s="19" t="n">
        <v>0</v>
      </c>
      <c r="T103" s="19" t="n">
        <v>0</v>
      </c>
      <c r="U103" s="19" t="n">
        <v>0.11</v>
      </c>
      <c r="V103" s="19" t="n">
        <v>0.23</v>
      </c>
      <c r="W103" s="19" t="n">
        <v>0.11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0.06</v>
      </c>
      <c r="AC103" s="19" t="n">
        <v>0.28</v>
      </c>
      <c r="AD103" s="19" t="n">
        <v>0.45</v>
      </c>
      <c r="AE103" s="19" t="n">
        <v>0.28</v>
      </c>
      <c r="AF103" s="19" t="n">
        <v>0.06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0.08</v>
      </c>
      <c r="AN103" s="19" t="n">
        <v>0.17</v>
      </c>
      <c r="AO103" s="19" t="n">
        <v>0.08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20" t="n">
        <f aca="false">SUM(D103:BC103)</f>
        <v>2.36</v>
      </c>
    </row>
    <row r="104" customFormat="false" ht="15" hidden="false" customHeight="false" outlineLevel="0" collapsed="false">
      <c r="A104" s="5" t="s">
        <v>280</v>
      </c>
      <c r="B104" s="5" t="s">
        <v>68</v>
      </c>
      <c r="C104" s="5" t="s">
        <v>179</v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0.06</v>
      </c>
      <c r="V104" s="19" t="n">
        <v>0.14</v>
      </c>
      <c r="W104" s="19" t="n">
        <v>0.1</v>
      </c>
      <c r="X104" s="19" t="n">
        <v>0.02</v>
      </c>
      <c r="Y104" s="19" t="n">
        <v>0</v>
      </c>
      <c r="Z104" s="19" t="n">
        <v>0.08</v>
      </c>
      <c r="AA104" s="19" t="n">
        <v>0.16</v>
      </c>
      <c r="AB104" s="19" t="n">
        <v>0.14</v>
      </c>
      <c r="AC104" s="19" t="n">
        <v>0.11</v>
      </c>
      <c r="AD104" s="19" t="n">
        <v>0.24</v>
      </c>
      <c r="AE104" s="19" t="n">
        <v>0.36</v>
      </c>
      <c r="AF104" s="19" t="n">
        <v>0.18</v>
      </c>
      <c r="AG104" s="19" t="n">
        <v>0.17</v>
      </c>
      <c r="AH104" s="19" t="n">
        <v>0.33</v>
      </c>
      <c r="AI104" s="19" t="n">
        <v>0.17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20" t="n">
        <f aca="false">SUM(D104:BC104)</f>
        <v>2.26</v>
      </c>
    </row>
    <row r="105" customFormat="false" ht="15" hidden="false" customHeight="false" outlineLevel="0" collapsed="false">
      <c r="A105" s="5" t="s">
        <v>281</v>
      </c>
      <c r="B105" s="5" t="s">
        <v>45</v>
      </c>
      <c r="C105" s="5" t="s">
        <v>179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0.03</v>
      </c>
      <c r="Q105" s="19" t="n">
        <v>0.07</v>
      </c>
      <c r="R105" s="19" t="n">
        <v>0.07</v>
      </c>
      <c r="S105" s="19" t="n">
        <v>0.07</v>
      </c>
      <c r="T105" s="19" t="n">
        <v>0.08</v>
      </c>
      <c r="U105" s="19" t="n">
        <v>0.15</v>
      </c>
      <c r="V105" s="19" t="n">
        <v>0.18</v>
      </c>
      <c r="W105" s="19" t="n">
        <v>0.1</v>
      </c>
      <c r="X105" s="19" t="n">
        <v>0.18</v>
      </c>
      <c r="Y105" s="19" t="n">
        <v>0.32</v>
      </c>
      <c r="Z105" s="19" t="n">
        <v>0.18</v>
      </c>
      <c r="AA105" s="19" t="n">
        <v>0.17</v>
      </c>
      <c r="AB105" s="19" t="n">
        <v>0.45</v>
      </c>
      <c r="AC105" s="19" t="n">
        <v>0.58</v>
      </c>
      <c r="AD105" s="19" t="n">
        <v>0.36</v>
      </c>
      <c r="AE105" s="19" t="n">
        <v>0.26</v>
      </c>
      <c r="AF105" s="19" t="n">
        <v>0.33</v>
      </c>
      <c r="AG105" s="19" t="n">
        <v>0.37</v>
      </c>
      <c r="AH105" s="19" t="n">
        <v>0.48</v>
      </c>
      <c r="AI105" s="19" t="n">
        <v>0.37</v>
      </c>
      <c r="AJ105" s="19" t="n">
        <v>0.08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0.03</v>
      </c>
      <c r="AS105" s="19" t="n">
        <v>0.07</v>
      </c>
      <c r="AT105" s="19" t="n">
        <v>0.03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20" t="n">
        <f aca="false">SUM(D105:BC105)</f>
        <v>5.01</v>
      </c>
    </row>
    <row r="106" customFormat="false" ht="15" hidden="false" customHeight="false" outlineLevel="0" collapsed="false">
      <c r="A106" s="5" t="s">
        <v>282</v>
      </c>
      <c r="B106" s="5" t="s">
        <v>66</v>
      </c>
      <c r="C106" s="5" t="s">
        <v>179</v>
      </c>
      <c r="D106" s="19" t="n">
        <v>0</v>
      </c>
      <c r="E106" s="19" t="n">
        <v>0</v>
      </c>
      <c r="F106" s="19" t="n">
        <v>0</v>
      </c>
      <c r="G106" s="19" t="n">
        <v>0</v>
      </c>
      <c r="H106" s="19" t="n">
        <v>0</v>
      </c>
      <c r="I106" s="19" t="n">
        <v>0</v>
      </c>
      <c r="J106" s="19" t="n">
        <v>0</v>
      </c>
      <c r="K106" s="19" t="n">
        <v>0</v>
      </c>
      <c r="L106" s="19" t="n">
        <v>0</v>
      </c>
      <c r="M106" s="19" t="n">
        <v>0</v>
      </c>
      <c r="N106" s="19" t="n">
        <v>0</v>
      </c>
      <c r="O106" s="19" t="n">
        <v>0</v>
      </c>
      <c r="P106" s="19" t="n">
        <v>0</v>
      </c>
      <c r="Q106" s="19" t="n">
        <v>0</v>
      </c>
      <c r="R106" s="19" t="n">
        <v>0</v>
      </c>
      <c r="S106" s="19" t="n">
        <v>0</v>
      </c>
      <c r="T106" s="19" t="n">
        <v>0</v>
      </c>
      <c r="U106" s="19" t="n">
        <v>0</v>
      </c>
      <c r="V106" s="19" t="n">
        <v>0</v>
      </c>
      <c r="W106" s="19" t="n">
        <v>0</v>
      </c>
      <c r="X106" s="19" t="n">
        <v>0</v>
      </c>
      <c r="Y106" s="19" t="n">
        <v>0.09</v>
      </c>
      <c r="Z106" s="19" t="n">
        <v>0.18</v>
      </c>
      <c r="AA106" s="19" t="n">
        <v>0.09</v>
      </c>
      <c r="AB106" s="19" t="n">
        <v>0</v>
      </c>
      <c r="AC106" s="19" t="n">
        <v>0</v>
      </c>
      <c r="AD106" s="19" t="n">
        <v>0</v>
      </c>
      <c r="AE106" s="19" t="n">
        <v>0</v>
      </c>
      <c r="AF106" s="19" t="n">
        <v>0</v>
      </c>
      <c r="AG106" s="19" t="n">
        <v>0</v>
      </c>
      <c r="AH106" s="19" t="n">
        <v>0</v>
      </c>
      <c r="AI106" s="19" t="n">
        <v>0</v>
      </c>
      <c r="AJ106" s="19" t="n">
        <v>0</v>
      </c>
      <c r="AK106" s="19" t="n">
        <v>0</v>
      </c>
      <c r="AL106" s="19" t="n">
        <v>0</v>
      </c>
      <c r="AM106" s="19" t="n">
        <v>0</v>
      </c>
      <c r="AN106" s="19" t="n">
        <v>0</v>
      </c>
      <c r="AO106" s="19" t="n">
        <v>0</v>
      </c>
      <c r="AP106" s="19" t="n">
        <v>0</v>
      </c>
      <c r="AQ106" s="19" t="n">
        <v>0</v>
      </c>
      <c r="AR106" s="19" t="n">
        <v>0</v>
      </c>
      <c r="AS106" s="19" t="n">
        <v>0</v>
      </c>
      <c r="AT106" s="19" t="n">
        <v>0</v>
      </c>
      <c r="AU106" s="19" t="n">
        <v>0</v>
      </c>
      <c r="AV106" s="19" t="n">
        <v>0</v>
      </c>
      <c r="AW106" s="19" t="n">
        <v>0</v>
      </c>
      <c r="AX106" s="19" t="n">
        <v>0</v>
      </c>
      <c r="AY106" s="19" t="n">
        <v>0</v>
      </c>
      <c r="AZ106" s="19" t="n">
        <v>0</v>
      </c>
      <c r="BA106" s="19" t="n">
        <v>0</v>
      </c>
      <c r="BB106" s="19" t="n">
        <v>0</v>
      </c>
      <c r="BC106" s="19" t="n">
        <v>0</v>
      </c>
      <c r="BD106" s="20" t="n">
        <f aca="false">SUM(D106:BC106)</f>
        <v>0.36</v>
      </c>
    </row>
    <row r="107" customFormat="false" ht="15" hidden="false" customHeight="false" outlineLevel="0" collapsed="false">
      <c r="A107" s="5" t="s">
        <v>283</v>
      </c>
      <c r="B107" s="5" t="s">
        <v>45</v>
      </c>
      <c r="C107" s="5" t="s">
        <v>179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0.05</v>
      </c>
      <c r="R107" s="19" t="n">
        <v>0.09</v>
      </c>
      <c r="S107" s="19" t="n">
        <v>0.05</v>
      </c>
      <c r="T107" s="19" t="n">
        <v>0</v>
      </c>
      <c r="U107" s="19" t="n">
        <v>0.02</v>
      </c>
      <c r="V107" s="19" t="n">
        <v>0.08</v>
      </c>
      <c r="W107" s="19" t="n">
        <v>0.12</v>
      </c>
      <c r="X107" s="19" t="n">
        <v>0.14</v>
      </c>
      <c r="Y107" s="19" t="n">
        <v>0.1</v>
      </c>
      <c r="Z107" s="19" t="n">
        <v>0.03</v>
      </c>
      <c r="AA107" s="19" t="n">
        <v>0</v>
      </c>
      <c r="AB107" s="19" t="n">
        <v>0.06</v>
      </c>
      <c r="AC107" s="19" t="n">
        <v>0.11</v>
      </c>
      <c r="AD107" s="19" t="n">
        <v>0.06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0.15</v>
      </c>
      <c r="AO107" s="19" t="n">
        <v>0.3</v>
      </c>
      <c r="AP107" s="19" t="n">
        <v>0.15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20" t="n">
        <f aca="false">SUM(D107:BC107)</f>
        <v>1.51</v>
      </c>
    </row>
    <row r="108" customFormat="false" ht="15" hidden="false" customHeight="false" outlineLevel="0" collapsed="false">
      <c r="A108" s="5" t="s">
        <v>284</v>
      </c>
      <c r="B108" s="5" t="s">
        <v>64</v>
      </c>
      <c r="C108" s="5" t="s">
        <v>179</v>
      </c>
      <c r="D108" s="19" t="n">
        <v>0.03</v>
      </c>
      <c r="E108" s="19" t="n">
        <v>0.07</v>
      </c>
      <c r="F108" s="19" t="n">
        <v>0.03</v>
      </c>
      <c r="G108" s="19" t="n">
        <v>0</v>
      </c>
      <c r="H108" s="19" t="n">
        <v>0</v>
      </c>
      <c r="I108" s="19" t="n">
        <v>0</v>
      </c>
      <c r="J108" s="19" t="n">
        <v>0</v>
      </c>
      <c r="K108" s="19" t="n">
        <v>0</v>
      </c>
      <c r="L108" s="19" t="n">
        <v>0</v>
      </c>
      <c r="M108" s="19" t="n">
        <v>0</v>
      </c>
      <c r="N108" s="19" t="n">
        <v>0</v>
      </c>
      <c r="O108" s="19" t="n">
        <v>0</v>
      </c>
      <c r="P108" s="19" t="n">
        <v>0</v>
      </c>
      <c r="Q108" s="19" t="n">
        <v>0</v>
      </c>
      <c r="R108" s="19" t="n">
        <v>0.02</v>
      </c>
      <c r="S108" s="19" t="n">
        <v>0.05</v>
      </c>
      <c r="T108" s="19" t="n">
        <v>0.02</v>
      </c>
      <c r="U108" s="19" t="n">
        <v>0.08</v>
      </c>
      <c r="V108" s="19" t="n">
        <v>0.16</v>
      </c>
      <c r="W108" s="19" t="n">
        <v>0.11</v>
      </c>
      <c r="X108" s="19" t="n">
        <v>0.09</v>
      </c>
      <c r="Y108" s="19" t="n">
        <v>0.11</v>
      </c>
      <c r="Z108" s="19" t="n">
        <v>0.09</v>
      </c>
      <c r="AA108" s="19" t="n">
        <v>0.03</v>
      </c>
      <c r="AB108" s="19" t="n">
        <v>0</v>
      </c>
      <c r="AC108" s="19" t="n">
        <v>0.02</v>
      </c>
      <c r="AD108" s="19" t="n">
        <v>0.05</v>
      </c>
      <c r="AE108" s="19" t="n">
        <v>0.49</v>
      </c>
      <c r="AF108" s="19" t="n">
        <v>0.93</v>
      </c>
      <c r="AG108" s="19" t="n">
        <v>0.47</v>
      </c>
      <c r="AH108" s="19" t="n">
        <v>0.03</v>
      </c>
      <c r="AI108" s="19" t="n">
        <v>0.07</v>
      </c>
      <c r="AJ108" s="19" t="n">
        <v>0.03</v>
      </c>
      <c r="AK108" s="19" t="n">
        <v>0</v>
      </c>
      <c r="AL108" s="19" t="n">
        <v>0</v>
      </c>
      <c r="AM108" s="19" t="n">
        <v>0</v>
      </c>
      <c r="AN108" s="19" t="n">
        <v>0</v>
      </c>
      <c r="AO108" s="19" t="n">
        <v>0</v>
      </c>
      <c r="AP108" s="19" t="n">
        <v>0</v>
      </c>
      <c r="AQ108" s="19" t="n">
        <v>0</v>
      </c>
      <c r="AR108" s="19" t="n">
        <v>0</v>
      </c>
      <c r="AS108" s="19" t="n">
        <v>0</v>
      </c>
      <c r="AT108" s="19" t="n">
        <v>0</v>
      </c>
      <c r="AU108" s="19" t="n">
        <v>0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9" t="n">
        <v>0</v>
      </c>
      <c r="BA108" s="19" t="n">
        <v>0</v>
      </c>
      <c r="BB108" s="19" t="n">
        <v>0</v>
      </c>
      <c r="BC108" s="19" t="n">
        <v>0</v>
      </c>
      <c r="BD108" s="20" t="n">
        <f aca="false">SUM(D108:BC108)</f>
        <v>2.98</v>
      </c>
    </row>
    <row r="109" customFormat="false" ht="15" hidden="false" customHeight="false" outlineLevel="0" collapsed="false">
      <c r="A109" s="5" t="s">
        <v>285</v>
      </c>
      <c r="B109" s="5" t="s">
        <v>69</v>
      </c>
      <c r="C109" s="5" t="s">
        <v>179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0.08</v>
      </c>
      <c r="T109" s="19" t="n">
        <v>0.16</v>
      </c>
      <c r="U109" s="19" t="n">
        <v>0.08</v>
      </c>
      <c r="V109" s="19" t="n">
        <v>0</v>
      </c>
      <c r="W109" s="19" t="n">
        <v>0</v>
      </c>
      <c r="X109" s="19" t="n">
        <v>0.09</v>
      </c>
      <c r="Y109" s="19" t="n">
        <v>0.18</v>
      </c>
      <c r="Z109" s="19" t="n">
        <v>0.09</v>
      </c>
      <c r="AA109" s="19" t="n">
        <v>0.09</v>
      </c>
      <c r="AB109" s="19" t="n">
        <v>0.27</v>
      </c>
      <c r="AC109" s="19" t="n">
        <v>0.51</v>
      </c>
      <c r="AD109" s="19" t="n">
        <v>0.56</v>
      </c>
      <c r="AE109" s="19" t="n">
        <v>0.24</v>
      </c>
      <c r="AF109" s="19" t="n">
        <v>0</v>
      </c>
      <c r="AG109" s="19" t="n">
        <v>0</v>
      </c>
      <c r="AH109" s="19" t="n">
        <v>0.17</v>
      </c>
      <c r="AI109" s="19" t="n">
        <v>0.33</v>
      </c>
      <c r="AJ109" s="19" t="n">
        <v>0.17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20" t="n">
        <f aca="false">SUM(D109:BC109)</f>
        <v>3.02</v>
      </c>
    </row>
    <row r="110" customFormat="false" ht="15" hidden="false" customHeight="false" outlineLevel="0" collapsed="false">
      <c r="A110" s="5" t="s">
        <v>286</v>
      </c>
      <c r="B110" s="5" t="s">
        <v>45</v>
      </c>
      <c r="C110" s="5" t="s">
        <v>179</v>
      </c>
      <c r="D110" s="19" t="n">
        <v>0</v>
      </c>
      <c r="E110" s="19" t="n">
        <v>0</v>
      </c>
      <c r="F110" s="19" t="n">
        <v>0</v>
      </c>
      <c r="G110" s="19" t="n">
        <v>0</v>
      </c>
      <c r="H110" s="19" t="n">
        <v>0</v>
      </c>
      <c r="I110" s="19" t="n">
        <v>0</v>
      </c>
      <c r="J110" s="19" t="n">
        <v>0</v>
      </c>
      <c r="K110" s="19" t="n">
        <v>0</v>
      </c>
      <c r="L110" s="19" t="n">
        <v>0</v>
      </c>
      <c r="M110" s="19" t="n">
        <v>0</v>
      </c>
      <c r="N110" s="19" t="n">
        <v>0</v>
      </c>
      <c r="O110" s="19" t="n">
        <v>0</v>
      </c>
      <c r="P110" s="19" t="n">
        <v>0</v>
      </c>
      <c r="Q110" s="19" t="n">
        <v>0</v>
      </c>
      <c r="R110" s="19" t="n">
        <v>0</v>
      </c>
      <c r="S110" s="19" t="n">
        <v>0</v>
      </c>
      <c r="T110" s="19" t="n">
        <v>0</v>
      </c>
      <c r="U110" s="19" t="n">
        <v>0</v>
      </c>
      <c r="V110" s="19" t="n">
        <v>0</v>
      </c>
      <c r="W110" s="19" t="n">
        <v>0</v>
      </c>
      <c r="X110" s="19" t="n">
        <v>0</v>
      </c>
      <c r="Y110" s="19" t="n">
        <v>0</v>
      </c>
      <c r="Z110" s="19" t="n">
        <v>0</v>
      </c>
      <c r="AA110" s="19" t="n">
        <v>0</v>
      </c>
      <c r="AB110" s="19" t="n">
        <v>0</v>
      </c>
      <c r="AC110" s="19" t="n">
        <v>0.09</v>
      </c>
      <c r="AD110" s="19" t="n">
        <v>0.18</v>
      </c>
      <c r="AE110" s="19" t="n">
        <v>0.09</v>
      </c>
      <c r="AF110" s="19" t="n">
        <v>0</v>
      </c>
      <c r="AG110" s="19" t="n">
        <v>0</v>
      </c>
      <c r="AH110" s="19" t="n">
        <v>0</v>
      </c>
      <c r="AI110" s="19" t="n">
        <v>0</v>
      </c>
      <c r="AJ110" s="19" t="n">
        <v>0</v>
      </c>
      <c r="AK110" s="19" t="n">
        <v>0</v>
      </c>
      <c r="AL110" s="19" t="n">
        <v>0</v>
      </c>
      <c r="AM110" s="19" t="n">
        <v>0</v>
      </c>
      <c r="AN110" s="19" t="n">
        <v>0</v>
      </c>
      <c r="AO110" s="19" t="n">
        <v>0</v>
      </c>
      <c r="AP110" s="19" t="n">
        <v>0</v>
      </c>
      <c r="AQ110" s="19" t="n">
        <v>0</v>
      </c>
      <c r="AR110" s="19" t="n">
        <v>0</v>
      </c>
      <c r="AS110" s="19" t="n">
        <v>0</v>
      </c>
      <c r="AT110" s="19" t="n">
        <v>0</v>
      </c>
      <c r="AU110" s="19" t="n">
        <v>0</v>
      </c>
      <c r="AV110" s="19" t="n">
        <v>0</v>
      </c>
      <c r="AW110" s="19" t="n">
        <v>0</v>
      </c>
      <c r="AX110" s="19" t="n">
        <v>0</v>
      </c>
      <c r="AY110" s="19" t="n">
        <v>0</v>
      </c>
      <c r="AZ110" s="19" t="n">
        <v>0</v>
      </c>
      <c r="BA110" s="19" t="n">
        <v>0</v>
      </c>
      <c r="BB110" s="19" t="n">
        <v>0</v>
      </c>
      <c r="BC110" s="19" t="n">
        <v>0</v>
      </c>
      <c r="BD110" s="20" t="n">
        <f aca="false">SUM(D110:BC110)</f>
        <v>0.36</v>
      </c>
    </row>
    <row r="111" customFormat="false" ht="15" hidden="false" customHeight="false" outlineLevel="0" collapsed="false">
      <c r="A111" s="5" t="s">
        <v>287</v>
      </c>
      <c r="B111" s="5" t="s">
        <v>69</v>
      </c>
      <c r="C111" s="5" t="s">
        <v>179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9" t="n">
        <v>0</v>
      </c>
      <c r="K111" s="19" t="n">
        <v>0</v>
      </c>
      <c r="L111" s="19" t="n">
        <v>0</v>
      </c>
      <c r="M111" s="19" t="n">
        <v>0</v>
      </c>
      <c r="N111" s="19" t="n">
        <v>0</v>
      </c>
      <c r="O111" s="19" t="n">
        <v>0</v>
      </c>
      <c r="P111" s="19" t="n">
        <v>0</v>
      </c>
      <c r="Q111" s="19" t="n">
        <v>0</v>
      </c>
      <c r="R111" s="19" t="n">
        <v>0</v>
      </c>
      <c r="S111" s="19" t="n">
        <v>0</v>
      </c>
      <c r="T111" s="19" t="n">
        <v>0</v>
      </c>
      <c r="U111" s="19" t="n">
        <v>0</v>
      </c>
      <c r="V111" s="19" t="n">
        <v>0</v>
      </c>
      <c r="W111" s="19" t="n">
        <v>0</v>
      </c>
      <c r="X111" s="19" t="n">
        <v>0</v>
      </c>
      <c r="Y111" s="19" t="n">
        <v>0</v>
      </c>
      <c r="Z111" s="19" t="n">
        <v>0</v>
      </c>
      <c r="AA111" s="19" t="n">
        <v>0</v>
      </c>
      <c r="AB111" s="19" t="n">
        <v>0</v>
      </c>
      <c r="AC111" s="19" t="n">
        <v>0</v>
      </c>
      <c r="AD111" s="19" t="n">
        <v>0</v>
      </c>
      <c r="AE111" s="19" t="n">
        <v>0</v>
      </c>
      <c r="AF111" s="19" t="n">
        <v>0</v>
      </c>
      <c r="AG111" s="19" t="n">
        <v>0</v>
      </c>
      <c r="AH111" s="19" t="n">
        <v>0</v>
      </c>
      <c r="AI111" s="19" t="n">
        <v>0.17</v>
      </c>
      <c r="AJ111" s="19" t="n">
        <v>0.33</v>
      </c>
      <c r="AK111" s="19" t="n">
        <v>0.17</v>
      </c>
      <c r="AL111" s="19" t="n">
        <v>0</v>
      </c>
      <c r="AM111" s="19" t="n">
        <v>0</v>
      </c>
      <c r="AN111" s="19" t="n">
        <v>0</v>
      </c>
      <c r="AO111" s="19" t="n">
        <v>0</v>
      </c>
      <c r="AP111" s="19" t="n">
        <v>0</v>
      </c>
      <c r="AQ111" s="19" t="n">
        <v>0</v>
      </c>
      <c r="AR111" s="19" t="n">
        <v>0</v>
      </c>
      <c r="AS111" s="19" t="n">
        <v>0</v>
      </c>
      <c r="AT111" s="19" t="n">
        <v>0</v>
      </c>
      <c r="AU111" s="19" t="n">
        <v>0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20" t="n">
        <f aca="false">SUM(D111:BC111)</f>
        <v>0.67</v>
      </c>
    </row>
    <row r="112" customFormat="false" ht="15" hidden="false" customHeight="false" outlineLevel="0" collapsed="false">
      <c r="A112" s="5" t="s">
        <v>288</v>
      </c>
      <c r="B112" s="5" t="s">
        <v>45</v>
      </c>
      <c r="C112" s="5" t="s">
        <v>179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0.09</v>
      </c>
      <c r="T112" s="19" t="n">
        <v>0.18</v>
      </c>
      <c r="U112" s="19" t="n">
        <v>0.18</v>
      </c>
      <c r="V112" s="19" t="n">
        <v>0.18</v>
      </c>
      <c r="W112" s="19" t="n">
        <v>0.09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0.09</v>
      </c>
      <c r="AC112" s="19" t="n">
        <v>0.27</v>
      </c>
      <c r="AD112" s="19" t="n">
        <v>0.27</v>
      </c>
      <c r="AE112" s="19" t="n">
        <v>0.09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20" t="n">
        <f aca="false">SUM(D112:BC112)</f>
        <v>1.44</v>
      </c>
    </row>
    <row r="113" customFormat="false" ht="15" hidden="false" customHeight="false" outlineLevel="0" collapsed="false">
      <c r="A113" s="5" t="s">
        <v>289</v>
      </c>
      <c r="B113" s="5" t="s">
        <v>45</v>
      </c>
      <c r="C113" s="5" t="s">
        <v>179</v>
      </c>
      <c r="D113" s="19" t="n">
        <v>0</v>
      </c>
      <c r="E113" s="19" t="n">
        <v>0</v>
      </c>
      <c r="F113" s="19" t="n">
        <v>0</v>
      </c>
      <c r="G113" s="19" t="n">
        <v>0</v>
      </c>
      <c r="H113" s="19" t="n">
        <v>0</v>
      </c>
      <c r="I113" s="19" t="n">
        <v>0</v>
      </c>
      <c r="J113" s="19" t="n">
        <v>0</v>
      </c>
      <c r="K113" s="19" t="n">
        <v>0</v>
      </c>
      <c r="L113" s="19" t="n">
        <v>0</v>
      </c>
      <c r="M113" s="19" t="n">
        <v>0</v>
      </c>
      <c r="N113" s="19" t="n">
        <v>0</v>
      </c>
      <c r="O113" s="19" t="n">
        <v>0</v>
      </c>
      <c r="P113" s="19" t="n">
        <v>0</v>
      </c>
      <c r="Q113" s="19" t="n">
        <v>0</v>
      </c>
      <c r="R113" s="19" t="n">
        <v>0</v>
      </c>
      <c r="S113" s="19" t="n">
        <v>0</v>
      </c>
      <c r="T113" s="19" t="n">
        <v>0.09</v>
      </c>
      <c r="U113" s="19" t="n">
        <v>0.18</v>
      </c>
      <c r="V113" s="19" t="n">
        <v>0.09</v>
      </c>
      <c r="W113" s="19" t="n">
        <v>0.06</v>
      </c>
      <c r="X113" s="19" t="n">
        <v>0.2</v>
      </c>
      <c r="Y113" s="19" t="n">
        <v>0.24</v>
      </c>
      <c r="Z113" s="19" t="n">
        <v>0.09</v>
      </c>
      <c r="AA113" s="19" t="n">
        <v>0.09</v>
      </c>
      <c r="AB113" s="19" t="n">
        <v>0.27</v>
      </c>
      <c r="AC113" s="19" t="n">
        <v>0.31</v>
      </c>
      <c r="AD113" s="19" t="n">
        <v>0.16</v>
      </c>
      <c r="AE113" s="19" t="n">
        <v>0.03</v>
      </c>
      <c r="AF113" s="19" t="n">
        <v>0</v>
      </c>
      <c r="AG113" s="19" t="n">
        <v>0</v>
      </c>
      <c r="AH113" s="19" t="n">
        <v>0</v>
      </c>
      <c r="AI113" s="19" t="n">
        <v>0</v>
      </c>
      <c r="AJ113" s="19" t="n">
        <v>0</v>
      </c>
      <c r="AK113" s="19" t="n">
        <v>0</v>
      </c>
      <c r="AL113" s="19" t="n">
        <v>0</v>
      </c>
      <c r="AM113" s="19" t="n">
        <v>0</v>
      </c>
      <c r="AN113" s="19" t="n">
        <v>0</v>
      </c>
      <c r="AO113" s="19" t="n">
        <v>0</v>
      </c>
      <c r="AP113" s="19" t="n">
        <v>0</v>
      </c>
      <c r="AQ113" s="19" t="n">
        <v>0</v>
      </c>
      <c r="AR113" s="19" t="n">
        <v>0</v>
      </c>
      <c r="AS113" s="19" t="n">
        <v>0</v>
      </c>
      <c r="AT113" s="19" t="n">
        <v>0</v>
      </c>
      <c r="AU113" s="19" t="n">
        <v>0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20" t="n">
        <f aca="false">SUM(D113:BC113)</f>
        <v>1.81</v>
      </c>
    </row>
    <row r="114" customFormat="false" ht="15" hidden="false" customHeight="false" outlineLevel="0" collapsed="false">
      <c r="A114" s="5" t="s">
        <v>290</v>
      </c>
      <c r="B114" s="5" t="s">
        <v>62</v>
      </c>
      <c r="C114" s="5" t="s">
        <v>179</v>
      </c>
      <c r="D114" s="19" t="n">
        <v>0</v>
      </c>
      <c r="E114" s="19" t="n">
        <v>0</v>
      </c>
      <c r="F114" s="19" t="n">
        <v>0</v>
      </c>
      <c r="G114" s="19" t="n">
        <v>0</v>
      </c>
      <c r="H114" s="19" t="n">
        <v>0</v>
      </c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0</v>
      </c>
      <c r="O114" s="19" t="n">
        <v>0</v>
      </c>
      <c r="P114" s="19" t="n">
        <v>0</v>
      </c>
      <c r="Q114" s="19" t="n">
        <v>0</v>
      </c>
      <c r="R114" s="19" t="n">
        <v>0</v>
      </c>
      <c r="S114" s="19" t="n">
        <v>0</v>
      </c>
      <c r="T114" s="19" t="n">
        <v>0.09</v>
      </c>
      <c r="U114" s="19" t="n">
        <v>0.24</v>
      </c>
      <c r="V114" s="19" t="n">
        <v>0.2</v>
      </c>
      <c r="W114" s="19" t="n">
        <v>0.14</v>
      </c>
      <c r="X114" s="19" t="n">
        <v>0.16</v>
      </c>
      <c r="Y114" s="19" t="n">
        <v>0.08</v>
      </c>
      <c r="Z114" s="19" t="n">
        <v>0.08</v>
      </c>
      <c r="AA114" s="19" t="n">
        <v>0.16</v>
      </c>
      <c r="AB114" s="19" t="n">
        <v>0.08</v>
      </c>
      <c r="AC114" s="19" t="n">
        <v>0</v>
      </c>
      <c r="AD114" s="19" t="n">
        <v>0.06</v>
      </c>
      <c r="AE114" s="19" t="n">
        <v>0.11</v>
      </c>
      <c r="AF114" s="19" t="n">
        <v>0.06</v>
      </c>
      <c r="AG114" s="19" t="n">
        <v>0</v>
      </c>
      <c r="AH114" s="19" t="n">
        <v>0</v>
      </c>
      <c r="AI114" s="19" t="n">
        <v>0</v>
      </c>
      <c r="AJ114" s="19" t="n">
        <v>0</v>
      </c>
      <c r="AK114" s="19" t="n">
        <v>0</v>
      </c>
      <c r="AL114" s="19" t="n">
        <v>0.08</v>
      </c>
      <c r="AM114" s="19" t="n">
        <v>0.17</v>
      </c>
      <c r="AN114" s="19" t="n">
        <v>0.08</v>
      </c>
      <c r="AO114" s="19" t="n">
        <v>0</v>
      </c>
      <c r="AP114" s="19" t="n">
        <v>0</v>
      </c>
      <c r="AQ114" s="19" t="n">
        <v>0</v>
      </c>
      <c r="AR114" s="19" t="n">
        <v>0</v>
      </c>
      <c r="AS114" s="19" t="n">
        <v>0</v>
      </c>
      <c r="AT114" s="19" t="n">
        <v>0</v>
      </c>
      <c r="AU114" s="19" t="n">
        <v>0</v>
      </c>
      <c r="AV114" s="19" t="n">
        <v>0</v>
      </c>
      <c r="AW114" s="19" t="n">
        <v>0</v>
      </c>
      <c r="AX114" s="19" t="n">
        <v>0</v>
      </c>
      <c r="AY114" s="19" t="n">
        <v>0</v>
      </c>
      <c r="AZ114" s="19" t="n">
        <v>0</v>
      </c>
      <c r="BA114" s="19" t="n">
        <v>0</v>
      </c>
      <c r="BB114" s="19" t="n">
        <v>0</v>
      </c>
      <c r="BC114" s="19" t="n">
        <v>0</v>
      </c>
      <c r="BD114" s="20" t="n">
        <f aca="false">SUM(D114:BC114)</f>
        <v>1.79</v>
      </c>
    </row>
    <row r="115" customFormat="false" ht="15" hidden="false" customHeight="false" outlineLevel="0" collapsed="false">
      <c r="A115" s="5" t="s">
        <v>291</v>
      </c>
      <c r="B115" s="5" t="s">
        <v>63</v>
      </c>
      <c r="C115" s="5" t="s">
        <v>179</v>
      </c>
      <c r="D115" s="19" t="n">
        <v>0</v>
      </c>
      <c r="E115" s="19" t="n">
        <v>0</v>
      </c>
      <c r="F115" s="19" t="n">
        <v>0</v>
      </c>
      <c r="G115" s="19" t="n">
        <v>0</v>
      </c>
      <c r="H115" s="19" t="n">
        <v>0</v>
      </c>
      <c r="I115" s="19" t="n">
        <v>0</v>
      </c>
      <c r="J115" s="19" t="n">
        <v>0</v>
      </c>
      <c r="K115" s="19" t="n">
        <v>0</v>
      </c>
      <c r="L115" s="19" t="n">
        <v>0</v>
      </c>
      <c r="M115" s="19" t="n">
        <v>0</v>
      </c>
      <c r="N115" s="19" t="n">
        <v>0</v>
      </c>
      <c r="O115" s="19" t="n">
        <v>0</v>
      </c>
      <c r="P115" s="19" t="n">
        <v>0</v>
      </c>
      <c r="Q115" s="19" t="n">
        <v>0.06</v>
      </c>
      <c r="R115" s="19" t="n">
        <v>0.11</v>
      </c>
      <c r="S115" s="19" t="n">
        <v>0.06</v>
      </c>
      <c r="T115" s="19" t="n">
        <v>0</v>
      </c>
      <c r="U115" s="19" t="n">
        <v>0</v>
      </c>
      <c r="V115" s="19" t="n">
        <v>0</v>
      </c>
      <c r="W115" s="19" t="n">
        <v>0</v>
      </c>
      <c r="X115" s="19" t="n">
        <v>0</v>
      </c>
      <c r="Y115" s="19" t="n">
        <v>0.06</v>
      </c>
      <c r="Z115" s="19" t="n">
        <v>0.11</v>
      </c>
      <c r="AA115" s="19" t="n">
        <v>0.06</v>
      </c>
      <c r="AB115" s="19" t="n">
        <v>0.08</v>
      </c>
      <c r="AC115" s="19" t="n">
        <v>0.16</v>
      </c>
      <c r="AD115" s="19" t="n">
        <v>0.08</v>
      </c>
      <c r="AE115" s="19" t="n">
        <v>0</v>
      </c>
      <c r="AF115" s="19" t="n">
        <v>0</v>
      </c>
      <c r="AG115" s="19" t="n">
        <v>0</v>
      </c>
      <c r="AH115" s="19" t="n">
        <v>0</v>
      </c>
      <c r="AI115" s="19" t="n">
        <v>0</v>
      </c>
      <c r="AJ115" s="19" t="n">
        <v>0</v>
      </c>
      <c r="AK115" s="19" t="n">
        <v>0</v>
      </c>
      <c r="AL115" s="19" t="n">
        <v>0.08</v>
      </c>
      <c r="AM115" s="19" t="n">
        <v>0.17</v>
      </c>
      <c r="AN115" s="19" t="n">
        <v>0.08</v>
      </c>
      <c r="AO115" s="19" t="n">
        <v>0</v>
      </c>
      <c r="AP115" s="19" t="n">
        <v>0</v>
      </c>
      <c r="AQ115" s="19" t="n">
        <v>0</v>
      </c>
      <c r="AR115" s="19" t="n">
        <v>0</v>
      </c>
      <c r="AS115" s="19" t="n">
        <v>0</v>
      </c>
      <c r="AT115" s="19" t="n">
        <v>0</v>
      </c>
      <c r="AU115" s="19" t="n">
        <v>0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20" t="n">
        <f aca="false">SUM(D115:BC115)</f>
        <v>1.11</v>
      </c>
    </row>
    <row r="116" customFormat="false" ht="15" hidden="false" customHeight="false" outlineLevel="0" collapsed="false">
      <c r="A116" s="5" t="s">
        <v>292</v>
      </c>
      <c r="B116" s="5" t="s">
        <v>45</v>
      </c>
      <c r="C116" s="5" t="s">
        <v>179</v>
      </c>
      <c r="D116" s="19" t="n">
        <v>0</v>
      </c>
      <c r="E116" s="19" t="n">
        <v>0</v>
      </c>
      <c r="F116" s="19" t="n">
        <v>0</v>
      </c>
      <c r="G116" s="19" t="n">
        <v>0</v>
      </c>
      <c r="H116" s="19" t="n">
        <v>0</v>
      </c>
      <c r="I116" s="19" t="n">
        <v>0</v>
      </c>
      <c r="J116" s="19" t="n">
        <v>0</v>
      </c>
      <c r="K116" s="19" t="n">
        <v>0</v>
      </c>
      <c r="L116" s="19" t="n">
        <v>0</v>
      </c>
      <c r="M116" s="19" t="n">
        <v>0</v>
      </c>
      <c r="N116" s="19" t="n">
        <v>0</v>
      </c>
      <c r="O116" s="19" t="n">
        <v>0</v>
      </c>
      <c r="P116" s="19" t="n">
        <v>0</v>
      </c>
      <c r="Q116" s="19" t="n">
        <v>0</v>
      </c>
      <c r="R116" s="19" t="n">
        <v>0.06</v>
      </c>
      <c r="S116" s="19" t="n">
        <v>0.11</v>
      </c>
      <c r="T116" s="19" t="n">
        <v>0.06</v>
      </c>
      <c r="U116" s="19" t="n">
        <v>0</v>
      </c>
      <c r="V116" s="19" t="n">
        <v>0</v>
      </c>
      <c r="W116" s="19" t="n">
        <v>0</v>
      </c>
      <c r="X116" s="19" t="n">
        <v>0</v>
      </c>
      <c r="Y116" s="19" t="n">
        <v>0</v>
      </c>
      <c r="Z116" s="19" t="n">
        <v>0</v>
      </c>
      <c r="AA116" s="19" t="n">
        <v>0.11</v>
      </c>
      <c r="AB116" s="19" t="n">
        <v>0.23</v>
      </c>
      <c r="AC116" s="19" t="n">
        <v>0.17</v>
      </c>
      <c r="AD116" s="19" t="n">
        <v>0.17</v>
      </c>
      <c r="AE116" s="19" t="n">
        <v>0.17</v>
      </c>
      <c r="AF116" s="19" t="n">
        <v>0.06</v>
      </c>
      <c r="AG116" s="19" t="n">
        <v>0</v>
      </c>
      <c r="AH116" s="19" t="n">
        <v>0</v>
      </c>
      <c r="AI116" s="19" t="n">
        <v>0</v>
      </c>
      <c r="AJ116" s="19" t="n">
        <v>0</v>
      </c>
      <c r="AK116" s="19" t="n">
        <v>0</v>
      </c>
      <c r="AL116" s="19" t="n">
        <v>0</v>
      </c>
      <c r="AM116" s="19" t="n">
        <v>0</v>
      </c>
      <c r="AN116" s="19" t="n">
        <v>0</v>
      </c>
      <c r="AO116" s="19" t="n">
        <v>0</v>
      </c>
      <c r="AP116" s="19" t="n">
        <v>0</v>
      </c>
      <c r="AQ116" s="19" t="n">
        <v>0</v>
      </c>
      <c r="AR116" s="19" t="n">
        <v>0</v>
      </c>
      <c r="AS116" s="19" t="n">
        <v>0</v>
      </c>
      <c r="AT116" s="19" t="n">
        <v>0</v>
      </c>
      <c r="AU116" s="19" t="n">
        <v>0</v>
      </c>
      <c r="AV116" s="19" t="n">
        <v>0</v>
      </c>
      <c r="AW116" s="19" t="n">
        <v>0</v>
      </c>
      <c r="AX116" s="19" t="n">
        <v>0</v>
      </c>
      <c r="AY116" s="19" t="n">
        <v>0</v>
      </c>
      <c r="AZ116" s="19" t="n">
        <v>0</v>
      </c>
      <c r="BA116" s="19" t="n">
        <v>0</v>
      </c>
      <c r="BB116" s="19" t="n">
        <v>0</v>
      </c>
      <c r="BC116" s="19" t="n">
        <v>0</v>
      </c>
      <c r="BD116" s="20" t="n">
        <f aca="false">SUM(D116:BC116)</f>
        <v>1.14</v>
      </c>
    </row>
    <row r="117" customFormat="false" ht="15" hidden="false" customHeight="false" outlineLevel="0" collapsed="false">
      <c r="A117" s="5" t="s">
        <v>293</v>
      </c>
      <c r="B117" s="5" t="s">
        <v>62</v>
      </c>
      <c r="C117" s="5" t="s">
        <v>179</v>
      </c>
      <c r="D117" s="19" t="n">
        <v>0</v>
      </c>
      <c r="E117" s="19" t="n">
        <v>0</v>
      </c>
      <c r="F117" s="19" t="n">
        <v>0</v>
      </c>
      <c r="G117" s="19" t="n">
        <v>0</v>
      </c>
      <c r="H117" s="19" t="n">
        <v>0</v>
      </c>
      <c r="I117" s="19" t="n">
        <v>0</v>
      </c>
      <c r="J117" s="19" t="n">
        <v>0</v>
      </c>
      <c r="K117" s="19" t="n">
        <v>0</v>
      </c>
      <c r="L117" s="19" t="n">
        <v>0</v>
      </c>
      <c r="M117" s="19" t="n">
        <v>0.09</v>
      </c>
      <c r="N117" s="19" t="n">
        <v>0.18</v>
      </c>
      <c r="O117" s="19" t="n">
        <v>0.09</v>
      </c>
      <c r="P117" s="19" t="n">
        <v>0</v>
      </c>
      <c r="Q117" s="19" t="n">
        <v>0</v>
      </c>
      <c r="R117" s="19" t="n">
        <v>0</v>
      </c>
      <c r="S117" s="19" t="n">
        <v>0</v>
      </c>
      <c r="T117" s="19" t="n">
        <v>0</v>
      </c>
      <c r="U117" s="19" t="n">
        <v>0.08</v>
      </c>
      <c r="V117" s="19" t="n">
        <v>0.16</v>
      </c>
      <c r="W117" s="19" t="n">
        <v>0.25</v>
      </c>
      <c r="X117" s="19" t="n">
        <v>0.34</v>
      </c>
      <c r="Y117" s="19" t="n">
        <v>0.23</v>
      </c>
      <c r="Z117" s="19" t="n">
        <v>0.2</v>
      </c>
      <c r="AA117" s="19" t="n">
        <v>0.24</v>
      </c>
      <c r="AB117" s="19" t="n">
        <v>0.18</v>
      </c>
      <c r="AC117" s="19" t="n">
        <v>0.18</v>
      </c>
      <c r="AD117" s="19" t="n">
        <v>0.09</v>
      </c>
      <c r="AE117" s="19" t="n">
        <v>0</v>
      </c>
      <c r="AF117" s="19" t="n">
        <v>0</v>
      </c>
      <c r="AG117" s="19" t="n">
        <v>0</v>
      </c>
      <c r="AH117" s="19" t="n">
        <v>0</v>
      </c>
      <c r="AI117" s="19" t="n">
        <v>0</v>
      </c>
      <c r="AJ117" s="19" t="n">
        <v>0</v>
      </c>
      <c r="AK117" s="19" t="n">
        <v>0</v>
      </c>
      <c r="AL117" s="19" t="n">
        <v>0</v>
      </c>
      <c r="AM117" s="19" t="n">
        <v>0</v>
      </c>
      <c r="AN117" s="19" t="n">
        <v>0</v>
      </c>
      <c r="AO117" s="19" t="n">
        <v>0</v>
      </c>
      <c r="AP117" s="19" t="n">
        <v>0</v>
      </c>
      <c r="AQ117" s="19" t="n">
        <v>0</v>
      </c>
      <c r="AR117" s="19" t="n">
        <v>0</v>
      </c>
      <c r="AS117" s="19" t="n">
        <v>0</v>
      </c>
      <c r="AT117" s="19" t="n">
        <v>0</v>
      </c>
      <c r="AU117" s="19" t="n">
        <v>0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20" t="n">
        <f aca="false">SUM(D117:BC117)</f>
        <v>2.31</v>
      </c>
    </row>
    <row r="118" customFormat="false" ht="15" hidden="false" customHeight="false" outlineLevel="0" collapsed="false">
      <c r="A118" s="5" t="s">
        <v>294</v>
      </c>
      <c r="B118" s="5" t="s">
        <v>62</v>
      </c>
      <c r="C118" s="5" t="s">
        <v>179</v>
      </c>
      <c r="D118" s="19" t="n">
        <v>0</v>
      </c>
      <c r="E118" s="19" t="n">
        <v>0</v>
      </c>
      <c r="F118" s="19" t="n">
        <v>0</v>
      </c>
      <c r="G118" s="19" t="n">
        <v>0</v>
      </c>
      <c r="H118" s="19" t="n">
        <v>0</v>
      </c>
      <c r="I118" s="19" t="n">
        <v>0</v>
      </c>
      <c r="J118" s="19" t="n">
        <v>0</v>
      </c>
      <c r="K118" s="19" t="n">
        <v>0</v>
      </c>
      <c r="L118" s="19" t="n">
        <v>0</v>
      </c>
      <c r="M118" s="19" t="n">
        <v>0</v>
      </c>
      <c r="N118" s="19" t="n">
        <v>0</v>
      </c>
      <c r="O118" s="19" t="n">
        <v>0</v>
      </c>
      <c r="P118" s="19" t="n">
        <v>0</v>
      </c>
      <c r="Q118" s="19" t="n">
        <v>0</v>
      </c>
      <c r="R118" s="19" t="n">
        <v>0</v>
      </c>
      <c r="S118" s="19" t="n">
        <v>0</v>
      </c>
      <c r="T118" s="19" t="n">
        <v>0.03</v>
      </c>
      <c r="U118" s="19" t="n">
        <v>0.15</v>
      </c>
      <c r="V118" s="19" t="n">
        <v>0.19</v>
      </c>
      <c r="W118" s="19" t="n">
        <v>0.08</v>
      </c>
      <c r="X118" s="19" t="n">
        <v>0</v>
      </c>
      <c r="Y118" s="19" t="n">
        <v>0</v>
      </c>
      <c r="Z118" s="19" t="n">
        <v>0</v>
      </c>
      <c r="AA118" s="19" t="n">
        <v>0</v>
      </c>
      <c r="AB118" s="19" t="n">
        <v>0</v>
      </c>
      <c r="AC118" s="19" t="n">
        <v>0</v>
      </c>
      <c r="AD118" s="19" t="n">
        <v>0</v>
      </c>
      <c r="AE118" s="19" t="n">
        <v>0</v>
      </c>
      <c r="AF118" s="19" t="n">
        <v>0.08</v>
      </c>
      <c r="AG118" s="19" t="n">
        <v>0.17</v>
      </c>
      <c r="AH118" s="19" t="n">
        <v>0.08</v>
      </c>
      <c r="AI118" s="19" t="n">
        <v>0</v>
      </c>
      <c r="AJ118" s="19" t="n">
        <v>0</v>
      </c>
      <c r="AK118" s="19" t="n">
        <v>0</v>
      </c>
      <c r="AL118" s="19" t="n">
        <v>0</v>
      </c>
      <c r="AM118" s="19" t="n">
        <v>0</v>
      </c>
      <c r="AN118" s="19" t="n">
        <v>0</v>
      </c>
      <c r="AO118" s="19" t="n">
        <v>0</v>
      </c>
      <c r="AP118" s="19" t="n">
        <v>0</v>
      </c>
      <c r="AQ118" s="19" t="n">
        <v>0</v>
      </c>
      <c r="AR118" s="19" t="n">
        <v>0</v>
      </c>
      <c r="AS118" s="19" t="n">
        <v>0</v>
      </c>
      <c r="AT118" s="19" t="n">
        <v>0</v>
      </c>
      <c r="AU118" s="19" t="n">
        <v>0</v>
      </c>
      <c r="AV118" s="19" t="n">
        <v>0</v>
      </c>
      <c r="AW118" s="19" t="n">
        <v>0</v>
      </c>
      <c r="AX118" s="19" t="n">
        <v>0</v>
      </c>
      <c r="AY118" s="19" t="n">
        <v>0</v>
      </c>
      <c r="AZ118" s="19" t="n">
        <v>0</v>
      </c>
      <c r="BA118" s="19" t="n">
        <v>0</v>
      </c>
      <c r="BB118" s="19" t="n">
        <v>0</v>
      </c>
      <c r="BC118" s="19" t="n">
        <v>0</v>
      </c>
      <c r="BD118" s="20" t="n">
        <f aca="false">SUM(D118:BC118)</f>
        <v>0.78</v>
      </c>
    </row>
    <row r="119" customFormat="false" ht="15" hidden="false" customHeight="false" outlineLevel="0" collapsed="false">
      <c r="A119" s="5" t="s">
        <v>295</v>
      </c>
      <c r="B119" s="5" t="s">
        <v>69</v>
      </c>
      <c r="C119" s="5" t="s">
        <v>179</v>
      </c>
      <c r="D119" s="19" t="n">
        <v>0</v>
      </c>
      <c r="E119" s="19" t="n">
        <v>0</v>
      </c>
      <c r="F119" s="19" t="n">
        <v>0</v>
      </c>
      <c r="G119" s="19" t="n">
        <v>0</v>
      </c>
      <c r="H119" s="19" t="n">
        <v>0</v>
      </c>
      <c r="I119" s="19" t="n">
        <v>0</v>
      </c>
      <c r="J119" s="19" t="n">
        <v>0</v>
      </c>
      <c r="K119" s="19" t="n">
        <v>0</v>
      </c>
      <c r="L119" s="19" t="n">
        <v>0</v>
      </c>
      <c r="M119" s="19" t="n">
        <v>0</v>
      </c>
      <c r="N119" s="19" t="n">
        <v>0</v>
      </c>
      <c r="O119" s="19" t="n">
        <v>0</v>
      </c>
      <c r="P119" s="19" t="n">
        <v>0</v>
      </c>
      <c r="Q119" s="19" t="n">
        <v>0</v>
      </c>
      <c r="R119" s="19" t="n">
        <v>0</v>
      </c>
      <c r="S119" s="19" t="n">
        <v>0</v>
      </c>
      <c r="T119" s="19" t="n">
        <v>0</v>
      </c>
      <c r="U119" s="19" t="n">
        <v>0</v>
      </c>
      <c r="V119" s="19" t="n">
        <v>0</v>
      </c>
      <c r="W119" s="19" t="n">
        <v>0</v>
      </c>
      <c r="X119" s="19" t="n">
        <v>0</v>
      </c>
      <c r="Y119" s="19" t="n">
        <v>0</v>
      </c>
      <c r="Z119" s="19" t="n">
        <v>0</v>
      </c>
      <c r="AA119" s="19" t="n">
        <v>0</v>
      </c>
      <c r="AB119" s="19" t="n">
        <v>0</v>
      </c>
      <c r="AC119" s="19" t="n">
        <v>0</v>
      </c>
      <c r="AD119" s="19" t="n">
        <v>0</v>
      </c>
      <c r="AE119" s="19" t="n">
        <v>0</v>
      </c>
      <c r="AF119" s="19" t="n">
        <v>0.12</v>
      </c>
      <c r="AG119" s="19" t="n">
        <v>0.23</v>
      </c>
      <c r="AH119" s="19" t="n">
        <v>0.12</v>
      </c>
      <c r="AI119" s="19" t="n">
        <v>0</v>
      </c>
      <c r="AJ119" s="19" t="n">
        <v>0</v>
      </c>
      <c r="AK119" s="19" t="n">
        <v>0</v>
      </c>
      <c r="AL119" s="19" t="n">
        <v>0</v>
      </c>
      <c r="AM119" s="19" t="n">
        <v>0</v>
      </c>
      <c r="AN119" s="19" t="n">
        <v>0</v>
      </c>
      <c r="AO119" s="19" t="n">
        <v>0</v>
      </c>
      <c r="AP119" s="19" t="n">
        <v>0</v>
      </c>
      <c r="AQ119" s="19" t="n">
        <v>0</v>
      </c>
      <c r="AR119" s="19" t="n">
        <v>0</v>
      </c>
      <c r="AS119" s="19" t="n">
        <v>0</v>
      </c>
      <c r="AT119" s="19" t="n">
        <v>0</v>
      </c>
      <c r="AU119" s="19" t="n">
        <v>0</v>
      </c>
      <c r="AV119" s="19" t="n">
        <v>0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20" t="n">
        <f aca="false">SUM(D119:BC119)</f>
        <v>0.47</v>
      </c>
    </row>
    <row r="120" customFormat="false" ht="15" hidden="false" customHeight="false" outlineLevel="0" collapsed="false">
      <c r="A120" s="5" t="s">
        <v>296</v>
      </c>
      <c r="B120" s="5" t="s">
        <v>45</v>
      </c>
      <c r="C120" s="5" t="s">
        <v>179</v>
      </c>
      <c r="D120" s="19" t="n">
        <v>0</v>
      </c>
      <c r="E120" s="19" t="n">
        <v>0</v>
      </c>
      <c r="F120" s="19" t="n">
        <v>0</v>
      </c>
      <c r="G120" s="19" t="n">
        <v>0</v>
      </c>
      <c r="H120" s="19" t="n">
        <v>0</v>
      </c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0</v>
      </c>
      <c r="O120" s="19" t="n">
        <v>0</v>
      </c>
      <c r="P120" s="19" t="n">
        <v>0</v>
      </c>
      <c r="Q120" s="19" t="n">
        <v>0</v>
      </c>
      <c r="R120" s="19" t="n">
        <v>0</v>
      </c>
      <c r="S120" s="19" t="n">
        <v>0</v>
      </c>
      <c r="T120" s="19" t="n">
        <v>0.08</v>
      </c>
      <c r="U120" s="19" t="n">
        <v>0.16</v>
      </c>
      <c r="V120" s="19" t="n">
        <v>0.16</v>
      </c>
      <c r="W120" s="19" t="n">
        <v>0.16</v>
      </c>
      <c r="X120" s="19" t="n">
        <v>0.08</v>
      </c>
      <c r="Y120" s="19" t="n">
        <v>0</v>
      </c>
      <c r="Z120" s="19" t="n">
        <v>0.06</v>
      </c>
      <c r="AA120" s="19" t="n">
        <v>0.11</v>
      </c>
      <c r="AB120" s="19" t="n">
        <v>0.11</v>
      </c>
      <c r="AC120" s="19" t="n">
        <v>0.11</v>
      </c>
      <c r="AD120" s="19" t="n">
        <v>0.06</v>
      </c>
      <c r="AE120" s="19" t="n">
        <v>0.08</v>
      </c>
      <c r="AF120" s="19" t="n">
        <v>0.17</v>
      </c>
      <c r="AG120" s="19" t="n">
        <v>0.08</v>
      </c>
      <c r="AH120" s="19" t="n">
        <v>0.08</v>
      </c>
      <c r="AI120" s="19" t="n">
        <v>0.25</v>
      </c>
      <c r="AJ120" s="19" t="n">
        <v>0.25</v>
      </c>
      <c r="AK120" s="19" t="n">
        <v>0.08</v>
      </c>
      <c r="AL120" s="19" t="n">
        <v>0</v>
      </c>
      <c r="AM120" s="19" t="n">
        <v>0</v>
      </c>
      <c r="AN120" s="19" t="n">
        <v>0</v>
      </c>
      <c r="AO120" s="19" t="n">
        <v>0</v>
      </c>
      <c r="AP120" s="19" t="n">
        <v>0</v>
      </c>
      <c r="AQ120" s="19" t="n">
        <v>0</v>
      </c>
      <c r="AR120" s="19" t="n">
        <v>0</v>
      </c>
      <c r="AS120" s="19" t="n">
        <v>0</v>
      </c>
      <c r="AT120" s="19" t="n">
        <v>0</v>
      </c>
      <c r="AU120" s="19" t="n">
        <v>0</v>
      </c>
      <c r="AV120" s="19" t="n">
        <v>0.08</v>
      </c>
      <c r="AW120" s="19" t="n">
        <v>0.17</v>
      </c>
      <c r="AX120" s="19" t="n">
        <v>0.08</v>
      </c>
      <c r="AY120" s="19" t="n">
        <v>0</v>
      </c>
      <c r="AZ120" s="19" t="n">
        <v>0</v>
      </c>
      <c r="BA120" s="19" t="n">
        <v>0</v>
      </c>
      <c r="BB120" s="19" t="n">
        <v>0</v>
      </c>
      <c r="BC120" s="19" t="n">
        <v>0</v>
      </c>
      <c r="BD120" s="20" t="n">
        <f aca="false">SUM(D120:BC120)</f>
        <v>2.41</v>
      </c>
    </row>
    <row r="121" customFormat="false" ht="15" hidden="false" customHeight="false" outlineLevel="0" collapsed="false">
      <c r="A121" s="5" t="s">
        <v>297</v>
      </c>
      <c r="B121" s="5" t="s">
        <v>57</v>
      </c>
      <c r="C121" s="5" t="s">
        <v>179</v>
      </c>
      <c r="D121" s="19" t="n">
        <v>0</v>
      </c>
      <c r="E121" s="19" t="n">
        <v>0</v>
      </c>
      <c r="F121" s="19" t="n">
        <v>0</v>
      </c>
      <c r="G121" s="19" t="n">
        <v>0</v>
      </c>
      <c r="H121" s="19" t="n">
        <v>0</v>
      </c>
      <c r="I121" s="19" t="n">
        <v>0</v>
      </c>
      <c r="J121" s="19" t="n">
        <v>0</v>
      </c>
      <c r="K121" s="19" t="n">
        <v>0</v>
      </c>
      <c r="L121" s="19" t="n">
        <v>0</v>
      </c>
      <c r="M121" s="19" t="n">
        <v>0</v>
      </c>
      <c r="N121" s="19" t="n">
        <v>0.09</v>
      </c>
      <c r="O121" s="19" t="n">
        <v>0.18</v>
      </c>
      <c r="P121" s="19" t="n">
        <v>0.09</v>
      </c>
      <c r="Q121" s="19" t="n">
        <v>0</v>
      </c>
      <c r="R121" s="19" t="n">
        <v>0</v>
      </c>
      <c r="S121" s="19" t="n">
        <v>0</v>
      </c>
      <c r="T121" s="19" t="n">
        <v>0</v>
      </c>
      <c r="U121" s="19" t="n">
        <v>0</v>
      </c>
      <c r="V121" s="19" t="n">
        <v>0</v>
      </c>
      <c r="W121" s="19" t="n">
        <v>0</v>
      </c>
      <c r="X121" s="19" t="n">
        <v>0.08</v>
      </c>
      <c r="Y121" s="19" t="n">
        <v>0.24</v>
      </c>
      <c r="Z121" s="19" t="n">
        <v>0.24</v>
      </c>
      <c r="AA121" s="19" t="n">
        <v>0.16</v>
      </c>
      <c r="AB121" s="19" t="n">
        <v>0.16</v>
      </c>
      <c r="AC121" s="19" t="n">
        <v>0.08</v>
      </c>
      <c r="AD121" s="19" t="n">
        <v>0</v>
      </c>
      <c r="AE121" s="19" t="n">
        <v>0</v>
      </c>
      <c r="AF121" s="19" t="n">
        <v>0</v>
      </c>
      <c r="AG121" s="19" t="n">
        <v>0</v>
      </c>
      <c r="AH121" s="19" t="n">
        <v>0</v>
      </c>
      <c r="AI121" s="19" t="n">
        <v>0</v>
      </c>
      <c r="AJ121" s="19" t="n">
        <v>0</v>
      </c>
      <c r="AK121" s="19" t="n">
        <v>0</v>
      </c>
      <c r="AL121" s="19" t="n">
        <v>0</v>
      </c>
      <c r="AM121" s="19" t="n">
        <v>0</v>
      </c>
      <c r="AN121" s="19" t="n">
        <v>0</v>
      </c>
      <c r="AO121" s="19" t="n">
        <v>0</v>
      </c>
      <c r="AP121" s="19" t="n">
        <v>0</v>
      </c>
      <c r="AQ121" s="19" t="n">
        <v>0</v>
      </c>
      <c r="AR121" s="19" t="n">
        <v>0</v>
      </c>
      <c r="AS121" s="19" t="n">
        <v>0</v>
      </c>
      <c r="AT121" s="19" t="n">
        <v>0</v>
      </c>
      <c r="AU121" s="19" t="n">
        <v>0</v>
      </c>
      <c r="AV121" s="19" t="n">
        <v>0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20" t="n">
        <f aca="false">SUM(D121:BC121)</f>
        <v>1.32</v>
      </c>
    </row>
    <row r="122" customFormat="false" ht="15" hidden="false" customHeight="false" outlineLevel="0" collapsed="false">
      <c r="A122" s="5" t="s">
        <v>298</v>
      </c>
      <c r="B122" s="5" t="s">
        <v>48</v>
      </c>
      <c r="C122" s="5" t="s">
        <v>179</v>
      </c>
      <c r="D122" s="19" t="n">
        <v>0</v>
      </c>
      <c r="E122" s="19" t="n">
        <v>0</v>
      </c>
      <c r="F122" s="19" t="n">
        <v>0</v>
      </c>
      <c r="G122" s="19" t="n">
        <v>0.16</v>
      </c>
      <c r="H122" s="19" t="n">
        <v>0.34</v>
      </c>
      <c r="I122" s="19" t="n">
        <v>0.2</v>
      </c>
      <c r="J122" s="19" t="n">
        <v>0.02</v>
      </c>
      <c r="K122" s="19" t="n">
        <v>0</v>
      </c>
      <c r="L122" s="19" t="n">
        <v>0</v>
      </c>
      <c r="M122" s="19" t="n">
        <v>0.11</v>
      </c>
      <c r="N122" s="19" t="n">
        <v>0.23</v>
      </c>
      <c r="O122" s="19" t="n">
        <v>0.11</v>
      </c>
      <c r="P122" s="19" t="n">
        <v>0</v>
      </c>
      <c r="Q122" s="19" t="n">
        <v>0</v>
      </c>
      <c r="R122" s="19" t="n">
        <v>0</v>
      </c>
      <c r="S122" s="19" t="n">
        <v>0</v>
      </c>
      <c r="T122" s="19" t="n">
        <v>0</v>
      </c>
      <c r="U122" s="19" t="n">
        <v>0</v>
      </c>
      <c r="V122" s="19" t="n">
        <v>0</v>
      </c>
      <c r="W122" s="19" t="n">
        <v>0</v>
      </c>
      <c r="X122" s="19" t="n">
        <v>0</v>
      </c>
      <c r="Y122" s="19" t="n">
        <v>0</v>
      </c>
      <c r="Z122" s="19" t="n">
        <v>0</v>
      </c>
      <c r="AA122" s="19" t="n">
        <v>0</v>
      </c>
      <c r="AB122" s="19" t="n">
        <v>0</v>
      </c>
      <c r="AC122" s="19" t="n">
        <v>0.07</v>
      </c>
      <c r="AD122" s="19" t="n">
        <v>0.25</v>
      </c>
      <c r="AE122" s="19" t="n">
        <v>0.34</v>
      </c>
      <c r="AF122" s="19" t="n">
        <v>0.21</v>
      </c>
      <c r="AG122" s="19" t="n">
        <v>0.05</v>
      </c>
      <c r="AH122" s="19" t="n">
        <v>0</v>
      </c>
      <c r="AI122" s="19" t="n">
        <v>0</v>
      </c>
      <c r="AJ122" s="19" t="n">
        <v>0</v>
      </c>
      <c r="AK122" s="19" t="n">
        <v>0</v>
      </c>
      <c r="AL122" s="19" t="n">
        <v>0</v>
      </c>
      <c r="AM122" s="19" t="n">
        <v>0</v>
      </c>
      <c r="AN122" s="19" t="n">
        <v>0</v>
      </c>
      <c r="AO122" s="19" t="n">
        <v>0</v>
      </c>
      <c r="AP122" s="19" t="n">
        <v>0</v>
      </c>
      <c r="AQ122" s="19" t="n">
        <v>0.08</v>
      </c>
      <c r="AR122" s="19" t="n">
        <v>0.17</v>
      </c>
      <c r="AS122" s="19" t="n">
        <v>0.08</v>
      </c>
      <c r="AT122" s="19" t="n">
        <v>0</v>
      </c>
      <c r="AU122" s="19" t="n">
        <v>0.03</v>
      </c>
      <c r="AV122" s="19" t="n">
        <v>0.65</v>
      </c>
      <c r="AW122" s="19" t="n">
        <v>1.2</v>
      </c>
      <c r="AX122" s="19" t="n">
        <v>0.58</v>
      </c>
      <c r="AY122" s="19" t="n">
        <v>0</v>
      </c>
      <c r="AZ122" s="19" t="n">
        <v>0</v>
      </c>
      <c r="BA122" s="19" t="n">
        <v>0</v>
      </c>
      <c r="BB122" s="19" t="n">
        <v>0</v>
      </c>
      <c r="BC122" s="19" t="n">
        <v>0</v>
      </c>
      <c r="BD122" s="20" t="n">
        <f aca="false">SUM(D122:BC122)</f>
        <v>4.88</v>
      </c>
    </row>
    <row r="123" customFormat="false" ht="15" hidden="false" customHeight="false" outlineLevel="0" collapsed="false">
      <c r="A123" s="5" t="s">
        <v>299</v>
      </c>
      <c r="B123" s="5" t="s">
        <v>45</v>
      </c>
      <c r="C123" s="5" t="s">
        <v>179</v>
      </c>
      <c r="D123" s="19" t="n">
        <v>0</v>
      </c>
      <c r="E123" s="19" t="n">
        <v>0</v>
      </c>
      <c r="F123" s="19" t="n">
        <v>0</v>
      </c>
      <c r="G123" s="19" t="n">
        <v>0</v>
      </c>
      <c r="H123" s="19" t="n">
        <v>0</v>
      </c>
      <c r="I123" s="19" t="n">
        <v>0</v>
      </c>
      <c r="J123" s="19" t="n">
        <v>0</v>
      </c>
      <c r="K123" s="19" t="n">
        <v>0</v>
      </c>
      <c r="L123" s="19" t="n">
        <v>0</v>
      </c>
      <c r="M123" s="19" t="n">
        <v>0</v>
      </c>
      <c r="N123" s="19" t="n">
        <v>0.02</v>
      </c>
      <c r="O123" s="19" t="n">
        <v>0.08</v>
      </c>
      <c r="P123" s="19" t="n">
        <v>0.09</v>
      </c>
      <c r="Q123" s="19" t="n">
        <v>0.06</v>
      </c>
      <c r="R123" s="19" t="n">
        <v>0.05</v>
      </c>
      <c r="S123" s="19" t="n">
        <v>0.02</v>
      </c>
      <c r="T123" s="19" t="n">
        <v>0.05</v>
      </c>
      <c r="U123" s="19" t="n">
        <v>0.09</v>
      </c>
      <c r="V123" s="19" t="n">
        <v>0.09</v>
      </c>
      <c r="W123" s="19" t="n">
        <v>0.14</v>
      </c>
      <c r="X123" s="19" t="n">
        <v>0.14</v>
      </c>
      <c r="Y123" s="19" t="n">
        <v>0.05</v>
      </c>
      <c r="Z123" s="19" t="n">
        <v>0</v>
      </c>
      <c r="AA123" s="19" t="n">
        <v>0</v>
      </c>
      <c r="AB123" s="19" t="n">
        <v>0</v>
      </c>
      <c r="AC123" s="19" t="n">
        <v>0.06</v>
      </c>
      <c r="AD123" s="19" t="n">
        <v>0.11</v>
      </c>
      <c r="AE123" s="19" t="n">
        <v>0.06</v>
      </c>
      <c r="AF123" s="19" t="n">
        <v>0</v>
      </c>
      <c r="AG123" s="19" t="n">
        <v>0</v>
      </c>
      <c r="AH123" s="19" t="n">
        <v>0</v>
      </c>
      <c r="AI123" s="19" t="n">
        <v>0</v>
      </c>
      <c r="AJ123" s="19" t="n">
        <v>0</v>
      </c>
      <c r="AK123" s="19" t="n">
        <v>0</v>
      </c>
      <c r="AL123" s="19" t="n">
        <v>0</v>
      </c>
      <c r="AM123" s="19" t="n">
        <v>0</v>
      </c>
      <c r="AN123" s="19" t="n">
        <v>0</v>
      </c>
      <c r="AO123" s="19" t="n">
        <v>0</v>
      </c>
      <c r="AP123" s="19" t="n">
        <v>0</v>
      </c>
      <c r="AQ123" s="19" t="n">
        <v>0</v>
      </c>
      <c r="AR123" s="19" t="n">
        <v>0</v>
      </c>
      <c r="AS123" s="19" t="n">
        <v>0</v>
      </c>
      <c r="AT123" s="19" t="n">
        <v>0</v>
      </c>
      <c r="AU123" s="19" t="n">
        <v>0</v>
      </c>
      <c r="AV123" s="19" t="n">
        <v>0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20" t="n">
        <f aca="false">SUM(D123:BC123)</f>
        <v>1.11</v>
      </c>
    </row>
    <row r="124" customFormat="false" ht="15" hidden="false" customHeight="false" outlineLevel="0" collapsed="false">
      <c r="A124" s="5" t="s">
        <v>300</v>
      </c>
      <c r="B124" s="5" t="s">
        <v>69</v>
      </c>
      <c r="C124" s="5" t="s">
        <v>179</v>
      </c>
      <c r="D124" s="19" t="n">
        <v>0</v>
      </c>
      <c r="E124" s="19" t="n">
        <v>0</v>
      </c>
      <c r="F124" s="19" t="n">
        <v>0</v>
      </c>
      <c r="G124" s="19" t="n">
        <v>0</v>
      </c>
      <c r="H124" s="19" t="n">
        <v>0</v>
      </c>
      <c r="I124" s="19" t="n">
        <v>0</v>
      </c>
      <c r="J124" s="19" t="n">
        <v>0</v>
      </c>
      <c r="K124" s="19" t="n">
        <v>0</v>
      </c>
      <c r="L124" s="19" t="n">
        <v>0</v>
      </c>
      <c r="M124" s="19" t="n">
        <v>0</v>
      </c>
      <c r="N124" s="19" t="n">
        <v>0</v>
      </c>
      <c r="O124" s="19" t="n">
        <v>0</v>
      </c>
      <c r="P124" s="19" t="n">
        <v>0</v>
      </c>
      <c r="Q124" s="19" t="n">
        <v>0</v>
      </c>
      <c r="R124" s="19" t="n">
        <v>0</v>
      </c>
      <c r="S124" s="19" t="n">
        <v>0</v>
      </c>
      <c r="T124" s="19" t="n">
        <v>0</v>
      </c>
      <c r="U124" s="19" t="n">
        <v>0</v>
      </c>
      <c r="V124" s="19" t="n">
        <v>0</v>
      </c>
      <c r="W124" s="19" t="n">
        <v>0.09</v>
      </c>
      <c r="X124" s="19" t="n">
        <v>0.18</v>
      </c>
      <c r="Y124" s="19" t="n">
        <v>0.09</v>
      </c>
      <c r="Z124" s="19" t="n">
        <v>0</v>
      </c>
      <c r="AA124" s="19" t="n">
        <v>0</v>
      </c>
      <c r="AB124" s="19" t="n">
        <v>0</v>
      </c>
      <c r="AC124" s="19" t="n">
        <v>0</v>
      </c>
      <c r="AD124" s="19" t="n">
        <v>0</v>
      </c>
      <c r="AE124" s="19" t="n">
        <v>0</v>
      </c>
      <c r="AF124" s="19" t="n">
        <v>0</v>
      </c>
      <c r="AG124" s="19" t="n">
        <v>0</v>
      </c>
      <c r="AH124" s="19" t="n">
        <v>0</v>
      </c>
      <c r="AI124" s="19" t="n">
        <v>0</v>
      </c>
      <c r="AJ124" s="19" t="n">
        <v>0</v>
      </c>
      <c r="AK124" s="19" t="n">
        <v>0</v>
      </c>
      <c r="AL124" s="19" t="n">
        <v>0</v>
      </c>
      <c r="AM124" s="19" t="n">
        <v>0</v>
      </c>
      <c r="AN124" s="19" t="n">
        <v>0</v>
      </c>
      <c r="AO124" s="19" t="n">
        <v>0</v>
      </c>
      <c r="AP124" s="19" t="n">
        <v>0</v>
      </c>
      <c r="AQ124" s="19" t="n">
        <v>0</v>
      </c>
      <c r="AR124" s="19" t="n">
        <v>0</v>
      </c>
      <c r="AS124" s="19" t="n">
        <v>0</v>
      </c>
      <c r="AT124" s="19" t="n">
        <v>0</v>
      </c>
      <c r="AU124" s="19" t="n">
        <v>0</v>
      </c>
      <c r="AV124" s="19" t="n">
        <v>0</v>
      </c>
      <c r="AW124" s="19" t="n">
        <v>0</v>
      </c>
      <c r="AX124" s="19" t="n">
        <v>0</v>
      </c>
      <c r="AY124" s="19" t="n">
        <v>0</v>
      </c>
      <c r="AZ124" s="19" t="n">
        <v>0</v>
      </c>
      <c r="BA124" s="19" t="n">
        <v>0</v>
      </c>
      <c r="BB124" s="19" t="n">
        <v>0</v>
      </c>
      <c r="BC124" s="19" t="n">
        <v>0</v>
      </c>
      <c r="BD124" s="20" t="n">
        <f aca="false">SUM(D124:BC124)</f>
        <v>0.36</v>
      </c>
    </row>
    <row r="125" customFormat="false" ht="15" hidden="false" customHeight="false" outlineLevel="0" collapsed="false">
      <c r="A125" s="5" t="s">
        <v>301</v>
      </c>
      <c r="B125" s="5" t="s">
        <v>57</v>
      </c>
      <c r="C125" s="5" t="s">
        <v>179</v>
      </c>
      <c r="D125" s="19" t="n">
        <v>0</v>
      </c>
      <c r="E125" s="19" t="n">
        <v>0</v>
      </c>
      <c r="F125" s="19" t="n">
        <v>0</v>
      </c>
      <c r="G125" s="19" t="n">
        <v>0</v>
      </c>
      <c r="H125" s="19" t="n">
        <v>0</v>
      </c>
      <c r="I125" s="19" t="n">
        <v>0</v>
      </c>
      <c r="J125" s="19" t="n">
        <v>0</v>
      </c>
      <c r="K125" s="19" t="n">
        <v>0</v>
      </c>
      <c r="L125" s="19" t="n">
        <v>0</v>
      </c>
      <c r="M125" s="19" t="n">
        <v>0</v>
      </c>
      <c r="N125" s="19" t="n">
        <v>0</v>
      </c>
      <c r="O125" s="19" t="n">
        <v>0</v>
      </c>
      <c r="P125" s="19" t="n">
        <v>0</v>
      </c>
      <c r="Q125" s="19" t="n">
        <v>0</v>
      </c>
      <c r="R125" s="19" t="n">
        <v>0</v>
      </c>
      <c r="S125" s="19" t="n">
        <v>0</v>
      </c>
      <c r="T125" s="19" t="n">
        <v>0</v>
      </c>
      <c r="U125" s="19" t="n">
        <v>0</v>
      </c>
      <c r="V125" s="19" t="n">
        <v>0</v>
      </c>
      <c r="W125" s="19" t="n">
        <v>0</v>
      </c>
      <c r="X125" s="19" t="n">
        <v>0</v>
      </c>
      <c r="Y125" s="19" t="n">
        <v>0.02</v>
      </c>
      <c r="Z125" s="19" t="n">
        <v>0.08</v>
      </c>
      <c r="AA125" s="19" t="n">
        <v>0.09</v>
      </c>
      <c r="AB125" s="19" t="n">
        <v>0.03</v>
      </c>
      <c r="AC125" s="19" t="n">
        <v>0</v>
      </c>
      <c r="AD125" s="19" t="n">
        <v>0</v>
      </c>
      <c r="AE125" s="19" t="n">
        <v>0.08</v>
      </c>
      <c r="AF125" s="19" t="n">
        <v>0.17</v>
      </c>
      <c r="AG125" s="19" t="n">
        <v>0.08</v>
      </c>
      <c r="AH125" s="19" t="n">
        <v>0</v>
      </c>
      <c r="AI125" s="19" t="n">
        <v>0</v>
      </c>
      <c r="AJ125" s="19" t="n">
        <v>0</v>
      </c>
      <c r="AK125" s="19" t="n">
        <v>0</v>
      </c>
      <c r="AL125" s="19" t="n">
        <v>0</v>
      </c>
      <c r="AM125" s="19" t="n">
        <v>0</v>
      </c>
      <c r="AN125" s="19" t="n">
        <v>0</v>
      </c>
      <c r="AO125" s="19" t="n">
        <v>0</v>
      </c>
      <c r="AP125" s="19" t="n">
        <v>0</v>
      </c>
      <c r="AQ125" s="19" t="n">
        <v>0</v>
      </c>
      <c r="AR125" s="19" t="n">
        <v>0</v>
      </c>
      <c r="AS125" s="19" t="n">
        <v>0</v>
      </c>
      <c r="AT125" s="19" t="n">
        <v>0</v>
      </c>
      <c r="AU125" s="19" t="n">
        <v>0</v>
      </c>
      <c r="AV125" s="19" t="n">
        <v>0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20" t="n">
        <f aca="false">SUM(D125:BC125)</f>
        <v>0.55</v>
      </c>
    </row>
    <row r="126" customFormat="false" ht="15" hidden="false" customHeight="false" outlineLevel="0" collapsed="false">
      <c r="A126" s="5" t="s">
        <v>302</v>
      </c>
      <c r="B126" s="5" t="s">
        <v>69</v>
      </c>
      <c r="C126" s="5" t="s">
        <v>179</v>
      </c>
      <c r="D126" s="19" t="n">
        <v>0</v>
      </c>
      <c r="E126" s="19" t="n">
        <v>0</v>
      </c>
      <c r="F126" s="19" t="n">
        <v>0</v>
      </c>
      <c r="G126" s="19" t="n">
        <v>0</v>
      </c>
      <c r="H126" s="19" t="n">
        <v>0</v>
      </c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0</v>
      </c>
      <c r="O126" s="19" t="n">
        <v>0</v>
      </c>
      <c r="P126" s="19" t="n">
        <v>0</v>
      </c>
      <c r="Q126" s="19" t="n">
        <v>0</v>
      </c>
      <c r="R126" s="19" t="n">
        <v>0</v>
      </c>
      <c r="S126" s="19" t="n">
        <v>0</v>
      </c>
      <c r="T126" s="19" t="n">
        <v>0</v>
      </c>
      <c r="U126" s="19" t="n">
        <v>0</v>
      </c>
      <c r="V126" s="19" t="n">
        <v>0</v>
      </c>
      <c r="W126" s="19" t="n">
        <v>0</v>
      </c>
      <c r="X126" s="19" t="n">
        <v>0</v>
      </c>
      <c r="Y126" s="19" t="n">
        <v>0</v>
      </c>
      <c r="Z126" s="19" t="n">
        <v>0</v>
      </c>
      <c r="AA126" s="19" t="n">
        <v>0</v>
      </c>
      <c r="AB126" s="19" t="n">
        <v>0</v>
      </c>
      <c r="AC126" s="19" t="n">
        <v>0</v>
      </c>
      <c r="AD126" s="19" t="n">
        <v>0</v>
      </c>
      <c r="AE126" s="19" t="n">
        <v>0</v>
      </c>
      <c r="AF126" s="19" t="n">
        <v>0</v>
      </c>
      <c r="AG126" s="19" t="n">
        <v>0.23</v>
      </c>
      <c r="AH126" s="19" t="n">
        <v>0.47</v>
      </c>
      <c r="AI126" s="19" t="n">
        <v>0.58</v>
      </c>
      <c r="AJ126" s="19" t="n">
        <v>0.7</v>
      </c>
      <c r="AK126" s="19" t="n">
        <v>0.35</v>
      </c>
      <c r="AL126" s="19" t="n">
        <v>0</v>
      </c>
      <c r="AM126" s="19" t="n">
        <v>0</v>
      </c>
      <c r="AN126" s="19" t="n">
        <v>0</v>
      </c>
      <c r="AO126" s="19" t="n">
        <v>0</v>
      </c>
      <c r="AP126" s="19" t="n">
        <v>0</v>
      </c>
      <c r="AQ126" s="19" t="n">
        <v>0</v>
      </c>
      <c r="AR126" s="19" t="n">
        <v>0</v>
      </c>
      <c r="AS126" s="19" t="n">
        <v>0</v>
      </c>
      <c r="AT126" s="19" t="n">
        <v>0</v>
      </c>
      <c r="AU126" s="19" t="n">
        <v>0</v>
      </c>
      <c r="AV126" s="19" t="n">
        <v>0</v>
      </c>
      <c r="AW126" s="19" t="n">
        <v>0</v>
      </c>
      <c r="AX126" s="19" t="n">
        <v>0</v>
      </c>
      <c r="AY126" s="19" t="n">
        <v>0</v>
      </c>
      <c r="AZ126" s="19" t="n">
        <v>0</v>
      </c>
      <c r="BA126" s="19" t="n">
        <v>0</v>
      </c>
      <c r="BB126" s="19" t="n">
        <v>0</v>
      </c>
      <c r="BC126" s="19" t="n">
        <v>0</v>
      </c>
      <c r="BD126" s="20" t="n">
        <f aca="false">SUM(D126:BC126)</f>
        <v>2.33</v>
      </c>
    </row>
    <row r="127" customFormat="false" ht="15" hidden="false" customHeight="false" outlineLevel="0" collapsed="false">
      <c r="A127" s="5" t="s">
        <v>303</v>
      </c>
      <c r="B127" s="5" t="s">
        <v>45</v>
      </c>
      <c r="C127" s="5" t="s">
        <v>179</v>
      </c>
      <c r="D127" s="19" t="n">
        <v>0</v>
      </c>
      <c r="E127" s="19" t="n">
        <v>0</v>
      </c>
      <c r="F127" s="19" t="n">
        <v>0</v>
      </c>
      <c r="G127" s="19" t="n">
        <v>0</v>
      </c>
      <c r="H127" s="19" t="n">
        <v>0</v>
      </c>
      <c r="I127" s="19" t="n">
        <v>0</v>
      </c>
      <c r="J127" s="19" t="n">
        <v>0</v>
      </c>
      <c r="K127" s="19" t="n">
        <v>0</v>
      </c>
      <c r="L127" s="19" t="n">
        <v>0</v>
      </c>
      <c r="M127" s="19" t="n">
        <v>0</v>
      </c>
      <c r="N127" s="19" t="n">
        <v>0</v>
      </c>
      <c r="O127" s="19" t="n">
        <v>0</v>
      </c>
      <c r="P127" s="19" t="n">
        <v>0</v>
      </c>
      <c r="Q127" s="19" t="n">
        <v>0</v>
      </c>
      <c r="R127" s="19" t="n">
        <v>0</v>
      </c>
      <c r="S127" s="19" t="n">
        <v>0</v>
      </c>
      <c r="T127" s="19" t="n">
        <v>0</v>
      </c>
      <c r="U127" s="19" t="n">
        <v>0</v>
      </c>
      <c r="V127" s="19" t="n">
        <v>0</v>
      </c>
      <c r="W127" s="19" t="n">
        <v>0</v>
      </c>
      <c r="X127" s="19" t="n">
        <v>0</v>
      </c>
      <c r="Y127" s="19" t="n">
        <v>0</v>
      </c>
      <c r="Z127" s="19" t="n">
        <v>0.09</v>
      </c>
      <c r="AA127" s="19" t="n">
        <v>0.18</v>
      </c>
      <c r="AB127" s="19" t="n">
        <v>0.09</v>
      </c>
      <c r="AC127" s="19" t="n">
        <v>0</v>
      </c>
      <c r="AD127" s="19" t="n">
        <v>0</v>
      </c>
      <c r="AE127" s="19" t="n">
        <v>0</v>
      </c>
      <c r="AF127" s="19" t="n">
        <v>0</v>
      </c>
      <c r="AG127" s="19" t="n">
        <v>0</v>
      </c>
      <c r="AH127" s="19" t="n">
        <v>0</v>
      </c>
      <c r="AI127" s="19" t="n">
        <v>0</v>
      </c>
      <c r="AJ127" s="19" t="n">
        <v>0</v>
      </c>
      <c r="AK127" s="19" t="n">
        <v>0</v>
      </c>
      <c r="AL127" s="19" t="n">
        <v>0</v>
      </c>
      <c r="AM127" s="19" t="n">
        <v>0</v>
      </c>
      <c r="AN127" s="19" t="n">
        <v>0</v>
      </c>
      <c r="AO127" s="19" t="n">
        <v>0</v>
      </c>
      <c r="AP127" s="19" t="n">
        <v>0</v>
      </c>
      <c r="AQ127" s="19" t="n">
        <v>0</v>
      </c>
      <c r="AR127" s="19" t="n">
        <v>0</v>
      </c>
      <c r="AS127" s="19" t="n">
        <v>0</v>
      </c>
      <c r="AT127" s="19" t="n">
        <v>0</v>
      </c>
      <c r="AU127" s="19" t="n">
        <v>0</v>
      </c>
      <c r="AV127" s="19" t="n">
        <v>0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20" t="n">
        <f aca="false">SUM(D127:BC127)</f>
        <v>0.36</v>
      </c>
    </row>
    <row r="128" customFormat="false" ht="15" hidden="false" customHeight="false" outlineLevel="0" collapsed="false">
      <c r="A128" s="5" t="s">
        <v>304</v>
      </c>
      <c r="B128" s="5" t="s">
        <v>45</v>
      </c>
      <c r="C128" s="5" t="s">
        <v>179</v>
      </c>
      <c r="D128" s="19" t="n">
        <v>0</v>
      </c>
      <c r="E128" s="19" t="n">
        <v>0</v>
      </c>
      <c r="F128" s="19" t="n">
        <v>0</v>
      </c>
      <c r="G128" s="19" t="n">
        <v>0</v>
      </c>
      <c r="H128" s="19" t="n">
        <v>0</v>
      </c>
      <c r="I128" s="19" t="n">
        <v>0</v>
      </c>
      <c r="J128" s="19" t="n">
        <v>0</v>
      </c>
      <c r="K128" s="19" t="n">
        <v>0</v>
      </c>
      <c r="L128" s="19" t="n">
        <v>0</v>
      </c>
      <c r="M128" s="19" t="n">
        <v>0</v>
      </c>
      <c r="N128" s="19" t="n">
        <v>0</v>
      </c>
      <c r="O128" s="19" t="n">
        <v>0</v>
      </c>
      <c r="P128" s="19" t="n">
        <v>0</v>
      </c>
      <c r="Q128" s="19" t="n">
        <v>0</v>
      </c>
      <c r="R128" s="19" t="n">
        <v>0</v>
      </c>
      <c r="S128" s="19" t="n">
        <v>0.06</v>
      </c>
      <c r="T128" s="19" t="n">
        <v>0.14</v>
      </c>
      <c r="U128" s="19" t="n">
        <v>0.1</v>
      </c>
      <c r="V128" s="19" t="n">
        <v>0.02</v>
      </c>
      <c r="W128" s="19" t="n">
        <v>0</v>
      </c>
      <c r="X128" s="19" t="n">
        <v>0</v>
      </c>
      <c r="Y128" s="19" t="n">
        <v>0</v>
      </c>
      <c r="Z128" s="19" t="n">
        <v>0</v>
      </c>
      <c r="AA128" s="19" t="n">
        <v>0</v>
      </c>
      <c r="AB128" s="19" t="n">
        <v>0</v>
      </c>
      <c r="AC128" s="19" t="n">
        <v>0.05</v>
      </c>
      <c r="AD128" s="19" t="n">
        <v>0.09</v>
      </c>
      <c r="AE128" s="19" t="n">
        <v>0.05</v>
      </c>
      <c r="AF128" s="19" t="n">
        <v>0</v>
      </c>
      <c r="AG128" s="19" t="n">
        <v>0</v>
      </c>
      <c r="AH128" s="19" t="n">
        <v>0.03</v>
      </c>
      <c r="AI128" s="19" t="n">
        <v>0.07</v>
      </c>
      <c r="AJ128" s="19" t="n">
        <v>0.03</v>
      </c>
      <c r="AK128" s="19" t="n">
        <v>0</v>
      </c>
      <c r="AL128" s="19" t="n">
        <v>0</v>
      </c>
      <c r="AM128" s="19" t="n">
        <v>0</v>
      </c>
      <c r="AN128" s="19" t="n">
        <v>0</v>
      </c>
      <c r="AO128" s="19" t="n">
        <v>0</v>
      </c>
      <c r="AP128" s="19" t="n">
        <v>0</v>
      </c>
      <c r="AQ128" s="19" t="n">
        <v>0</v>
      </c>
      <c r="AR128" s="19" t="n">
        <v>0.05</v>
      </c>
      <c r="AS128" s="19" t="n">
        <v>0.1</v>
      </c>
      <c r="AT128" s="19" t="n">
        <v>0.05</v>
      </c>
      <c r="AU128" s="19" t="n">
        <v>0</v>
      </c>
      <c r="AV128" s="19" t="n">
        <v>0</v>
      </c>
      <c r="AW128" s="19" t="n">
        <v>0</v>
      </c>
      <c r="AX128" s="19" t="n">
        <v>0</v>
      </c>
      <c r="AY128" s="19" t="n">
        <v>0</v>
      </c>
      <c r="AZ128" s="19" t="n">
        <v>0.03</v>
      </c>
      <c r="BA128" s="19" t="n">
        <v>0.07</v>
      </c>
      <c r="BB128" s="19" t="n">
        <v>0.03</v>
      </c>
      <c r="BC128" s="19" t="n">
        <v>0</v>
      </c>
      <c r="BD128" s="20" t="n">
        <f aca="false">SUM(D128:BC128)</f>
        <v>0.97</v>
      </c>
    </row>
    <row r="129" customFormat="false" ht="15" hidden="false" customHeight="false" outlineLevel="0" collapsed="false">
      <c r="A129" s="5" t="s">
        <v>305</v>
      </c>
      <c r="B129" s="5" t="s">
        <v>45</v>
      </c>
      <c r="C129" s="5" t="s">
        <v>179</v>
      </c>
      <c r="D129" s="19" t="n">
        <v>0</v>
      </c>
      <c r="E129" s="19" t="n">
        <v>0</v>
      </c>
      <c r="F129" s="19" t="n">
        <v>0</v>
      </c>
      <c r="G129" s="19" t="n">
        <v>0</v>
      </c>
      <c r="H129" s="19" t="n">
        <v>0</v>
      </c>
      <c r="I129" s="19" t="n">
        <v>0</v>
      </c>
      <c r="J129" s="19" t="n">
        <v>0</v>
      </c>
      <c r="K129" s="19" t="n">
        <v>0</v>
      </c>
      <c r="L129" s="19" t="n">
        <v>0</v>
      </c>
      <c r="M129" s="19" t="n">
        <v>0</v>
      </c>
      <c r="N129" s="19" t="n">
        <v>0</v>
      </c>
      <c r="O129" s="19" t="n">
        <v>0</v>
      </c>
      <c r="P129" s="19" t="n">
        <v>0</v>
      </c>
      <c r="Q129" s="19" t="n">
        <v>0</v>
      </c>
      <c r="R129" s="19" t="n">
        <v>0</v>
      </c>
      <c r="S129" s="19" t="n">
        <v>0</v>
      </c>
      <c r="T129" s="19" t="n">
        <v>0</v>
      </c>
      <c r="U129" s="19" t="n">
        <v>0.03</v>
      </c>
      <c r="V129" s="19" t="n">
        <v>0.07</v>
      </c>
      <c r="W129" s="19" t="n">
        <v>0.03</v>
      </c>
      <c r="X129" s="19" t="n">
        <v>0.08</v>
      </c>
      <c r="Y129" s="19" t="n">
        <v>0.16</v>
      </c>
      <c r="Z129" s="19" t="n">
        <v>0.08</v>
      </c>
      <c r="AA129" s="19" t="n">
        <v>0</v>
      </c>
      <c r="AB129" s="19" t="n">
        <v>0.08</v>
      </c>
      <c r="AC129" s="19" t="n">
        <v>0.24</v>
      </c>
      <c r="AD129" s="19" t="n">
        <v>0.24</v>
      </c>
      <c r="AE129" s="19" t="n">
        <v>0.08</v>
      </c>
      <c r="AF129" s="19" t="n">
        <v>0.03</v>
      </c>
      <c r="AG129" s="19" t="n">
        <v>0.07</v>
      </c>
      <c r="AH129" s="19" t="n">
        <v>0.03</v>
      </c>
      <c r="AI129" s="19" t="n">
        <v>0</v>
      </c>
      <c r="AJ129" s="19" t="n">
        <v>0</v>
      </c>
      <c r="AK129" s="19" t="n">
        <v>0</v>
      </c>
      <c r="AL129" s="19" t="n">
        <v>0</v>
      </c>
      <c r="AM129" s="19" t="n">
        <v>0</v>
      </c>
      <c r="AN129" s="19" t="n">
        <v>0</v>
      </c>
      <c r="AO129" s="19" t="n">
        <v>0</v>
      </c>
      <c r="AP129" s="19" t="n">
        <v>0</v>
      </c>
      <c r="AQ129" s="19" t="n">
        <v>0</v>
      </c>
      <c r="AR129" s="19" t="n">
        <v>0</v>
      </c>
      <c r="AS129" s="19" t="n">
        <v>0</v>
      </c>
      <c r="AT129" s="19" t="n">
        <v>0</v>
      </c>
      <c r="AU129" s="19" t="n">
        <v>0</v>
      </c>
      <c r="AV129" s="19" t="n">
        <v>0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20" t="n">
        <f aca="false">SUM(D129:BC129)</f>
        <v>1.22</v>
      </c>
    </row>
    <row r="130" customFormat="false" ht="15" hidden="false" customHeight="false" outlineLevel="0" collapsed="false">
      <c r="A130" s="5" t="s">
        <v>306</v>
      </c>
      <c r="B130" s="5" t="s">
        <v>69</v>
      </c>
      <c r="C130" s="5" t="s">
        <v>179</v>
      </c>
      <c r="D130" s="19" t="n">
        <v>0</v>
      </c>
      <c r="E130" s="19" t="n">
        <v>0</v>
      </c>
      <c r="F130" s="19" t="n">
        <v>0</v>
      </c>
      <c r="G130" s="19" t="n">
        <v>0</v>
      </c>
      <c r="H130" s="19" t="n">
        <v>0</v>
      </c>
      <c r="I130" s="19" t="n">
        <v>0</v>
      </c>
      <c r="J130" s="19" t="n">
        <v>0</v>
      </c>
      <c r="K130" s="19" t="n">
        <v>0</v>
      </c>
      <c r="L130" s="19" t="n">
        <v>0</v>
      </c>
      <c r="M130" s="19" t="n">
        <v>0</v>
      </c>
      <c r="N130" s="19" t="n">
        <v>0</v>
      </c>
      <c r="O130" s="19" t="n">
        <v>0</v>
      </c>
      <c r="P130" s="19" t="n">
        <v>0</v>
      </c>
      <c r="Q130" s="19" t="n">
        <v>0</v>
      </c>
      <c r="R130" s="19" t="n">
        <v>0</v>
      </c>
      <c r="S130" s="19" t="n">
        <v>0</v>
      </c>
      <c r="T130" s="19" t="n">
        <v>0</v>
      </c>
      <c r="U130" s="19" t="n">
        <v>0</v>
      </c>
      <c r="V130" s="19" t="n">
        <v>0</v>
      </c>
      <c r="W130" s="19" t="n">
        <v>0</v>
      </c>
      <c r="X130" s="19" t="n">
        <v>0</v>
      </c>
      <c r="Y130" s="19" t="n">
        <v>0</v>
      </c>
      <c r="Z130" s="19" t="n">
        <v>0</v>
      </c>
      <c r="AA130" s="19" t="n">
        <v>0</v>
      </c>
      <c r="AB130" s="19" t="n">
        <v>0</v>
      </c>
      <c r="AC130" s="19" t="n">
        <v>0</v>
      </c>
      <c r="AD130" s="19" t="n">
        <v>0</v>
      </c>
      <c r="AE130" s="19" t="n">
        <v>0</v>
      </c>
      <c r="AF130" s="19" t="n">
        <v>0</v>
      </c>
      <c r="AG130" s="19" t="n">
        <v>0</v>
      </c>
      <c r="AH130" s="19" t="n">
        <v>0</v>
      </c>
      <c r="AI130" s="19" t="n">
        <v>0</v>
      </c>
      <c r="AJ130" s="19" t="n">
        <v>0</v>
      </c>
      <c r="AK130" s="19" t="n">
        <v>0</v>
      </c>
      <c r="AL130" s="19" t="n">
        <v>0</v>
      </c>
      <c r="AM130" s="19" t="n">
        <v>0</v>
      </c>
      <c r="AN130" s="19" t="n">
        <v>0</v>
      </c>
      <c r="AO130" s="19" t="n">
        <v>0</v>
      </c>
      <c r="AP130" s="19" t="n">
        <v>0.12</v>
      </c>
      <c r="AQ130" s="19" t="n">
        <v>0.23</v>
      </c>
      <c r="AR130" s="19" t="n">
        <v>0.12</v>
      </c>
      <c r="AS130" s="19" t="n">
        <v>0</v>
      </c>
      <c r="AT130" s="19" t="n">
        <v>0</v>
      </c>
      <c r="AU130" s="19" t="n">
        <v>0</v>
      </c>
      <c r="AV130" s="19" t="n">
        <v>0</v>
      </c>
      <c r="AW130" s="19" t="n">
        <v>0</v>
      </c>
      <c r="AX130" s="19" t="n">
        <v>0</v>
      </c>
      <c r="AY130" s="19" t="n">
        <v>0</v>
      </c>
      <c r="AZ130" s="19" t="n">
        <v>0</v>
      </c>
      <c r="BA130" s="19" t="n">
        <v>0</v>
      </c>
      <c r="BB130" s="19" t="n">
        <v>0</v>
      </c>
      <c r="BC130" s="19" t="n">
        <v>0</v>
      </c>
      <c r="BD130" s="20" t="n">
        <f aca="false">SUM(D130:BC130)</f>
        <v>0.47</v>
      </c>
    </row>
    <row r="131" customFormat="false" ht="15" hidden="false" customHeight="false" outlineLevel="0" collapsed="false">
      <c r="A131" s="5" t="s">
        <v>307</v>
      </c>
      <c r="B131" s="5" t="s">
        <v>64</v>
      </c>
      <c r="C131" s="5" t="s">
        <v>179</v>
      </c>
      <c r="D131" s="19" t="n">
        <v>0</v>
      </c>
      <c r="E131" s="19" t="n">
        <v>0</v>
      </c>
      <c r="F131" s="19" t="n">
        <v>0</v>
      </c>
      <c r="G131" s="19" t="n">
        <v>0</v>
      </c>
      <c r="H131" s="19" t="n">
        <v>0</v>
      </c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0</v>
      </c>
      <c r="O131" s="19" t="n">
        <v>0</v>
      </c>
      <c r="P131" s="19" t="n">
        <v>0</v>
      </c>
      <c r="Q131" s="19" t="n">
        <v>0</v>
      </c>
      <c r="R131" s="19" t="n">
        <v>0</v>
      </c>
      <c r="S131" s="19" t="n">
        <v>0</v>
      </c>
      <c r="T131" s="19" t="n">
        <v>0</v>
      </c>
      <c r="U131" s="19" t="n">
        <v>0.03</v>
      </c>
      <c r="V131" s="19" t="n">
        <v>0.07</v>
      </c>
      <c r="W131" s="19" t="n">
        <v>0.03</v>
      </c>
      <c r="X131" s="19" t="n">
        <v>0.06</v>
      </c>
      <c r="Y131" s="19" t="n">
        <v>0.11</v>
      </c>
      <c r="Z131" s="19" t="n">
        <v>0.06</v>
      </c>
      <c r="AA131" s="19" t="n">
        <v>0</v>
      </c>
      <c r="AB131" s="19" t="n">
        <v>0</v>
      </c>
      <c r="AC131" s="19" t="n">
        <v>0</v>
      </c>
      <c r="AD131" s="19" t="n">
        <v>0</v>
      </c>
      <c r="AE131" s="19" t="n">
        <v>0</v>
      </c>
      <c r="AF131" s="19" t="n">
        <v>0</v>
      </c>
      <c r="AG131" s="19" t="n">
        <v>0</v>
      </c>
      <c r="AH131" s="19" t="n">
        <v>0</v>
      </c>
      <c r="AI131" s="19" t="n">
        <v>0</v>
      </c>
      <c r="AJ131" s="19" t="n">
        <v>0</v>
      </c>
      <c r="AK131" s="19" t="n">
        <v>0</v>
      </c>
      <c r="AL131" s="19" t="n">
        <v>0</v>
      </c>
      <c r="AM131" s="19" t="n">
        <v>0</v>
      </c>
      <c r="AN131" s="19" t="n">
        <v>0</v>
      </c>
      <c r="AO131" s="19" t="n">
        <v>0</v>
      </c>
      <c r="AP131" s="19" t="n">
        <v>0</v>
      </c>
      <c r="AQ131" s="19" t="n">
        <v>0</v>
      </c>
      <c r="AR131" s="19" t="n">
        <v>0</v>
      </c>
      <c r="AS131" s="19" t="n">
        <v>0</v>
      </c>
      <c r="AT131" s="19" t="n">
        <v>0</v>
      </c>
      <c r="AU131" s="19" t="n">
        <v>0</v>
      </c>
      <c r="AV131" s="19" t="n">
        <v>0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20" t="n">
        <f aca="false">SUM(D131:BC131)</f>
        <v>0.36</v>
      </c>
    </row>
    <row r="132" customFormat="false" ht="15" hidden="false" customHeight="false" outlineLevel="0" collapsed="false">
      <c r="A132" s="5" t="s">
        <v>308</v>
      </c>
      <c r="B132" s="5" t="s">
        <v>45</v>
      </c>
      <c r="C132" s="5" t="s">
        <v>179</v>
      </c>
      <c r="D132" s="19" t="n">
        <v>0</v>
      </c>
      <c r="E132" s="19" t="n">
        <v>0</v>
      </c>
      <c r="F132" s="19" t="n">
        <v>0</v>
      </c>
      <c r="G132" s="19" t="n">
        <v>0</v>
      </c>
      <c r="H132" s="19" t="n">
        <v>0</v>
      </c>
      <c r="I132" s="19" t="n">
        <v>0</v>
      </c>
      <c r="J132" s="19" t="n">
        <v>0</v>
      </c>
      <c r="K132" s="19" t="n">
        <v>0</v>
      </c>
      <c r="L132" s="19" t="n">
        <v>0</v>
      </c>
      <c r="M132" s="19" t="n">
        <v>0</v>
      </c>
      <c r="N132" s="19" t="n">
        <v>0</v>
      </c>
      <c r="O132" s="19" t="n">
        <v>0</v>
      </c>
      <c r="P132" s="19" t="n">
        <v>0</v>
      </c>
      <c r="Q132" s="19" t="n">
        <v>0</v>
      </c>
      <c r="R132" s="19" t="n">
        <v>0.08</v>
      </c>
      <c r="S132" s="19" t="n">
        <v>0.16</v>
      </c>
      <c r="T132" s="19" t="n">
        <v>0.16</v>
      </c>
      <c r="U132" s="19" t="n">
        <v>0.16</v>
      </c>
      <c r="V132" s="19" t="n">
        <v>0.08</v>
      </c>
      <c r="W132" s="19" t="n">
        <v>0</v>
      </c>
      <c r="X132" s="19" t="n">
        <v>0.08</v>
      </c>
      <c r="Y132" s="19" t="n">
        <v>0.16</v>
      </c>
      <c r="Z132" s="19" t="n">
        <v>0.08</v>
      </c>
      <c r="AA132" s="19" t="n">
        <v>0</v>
      </c>
      <c r="AB132" s="19" t="n">
        <v>0</v>
      </c>
      <c r="AC132" s="19" t="n">
        <v>0</v>
      </c>
      <c r="AD132" s="19" t="n">
        <v>0</v>
      </c>
      <c r="AE132" s="19" t="n">
        <v>0</v>
      </c>
      <c r="AF132" s="19" t="n">
        <v>0</v>
      </c>
      <c r="AG132" s="19" t="n">
        <v>0</v>
      </c>
      <c r="AH132" s="19" t="n">
        <v>0</v>
      </c>
      <c r="AI132" s="19" t="n">
        <v>0</v>
      </c>
      <c r="AJ132" s="19" t="n">
        <v>0</v>
      </c>
      <c r="AK132" s="19" t="n">
        <v>0</v>
      </c>
      <c r="AL132" s="19" t="n">
        <v>0</v>
      </c>
      <c r="AM132" s="19" t="n">
        <v>0</v>
      </c>
      <c r="AN132" s="19" t="n">
        <v>0</v>
      </c>
      <c r="AO132" s="19" t="n">
        <v>0</v>
      </c>
      <c r="AP132" s="19" t="n">
        <v>0</v>
      </c>
      <c r="AQ132" s="19" t="n">
        <v>0</v>
      </c>
      <c r="AR132" s="19" t="n">
        <v>0</v>
      </c>
      <c r="AS132" s="19" t="n">
        <v>0</v>
      </c>
      <c r="AT132" s="19" t="n">
        <v>0</v>
      </c>
      <c r="AU132" s="19" t="n">
        <v>0</v>
      </c>
      <c r="AV132" s="19" t="n">
        <v>0</v>
      </c>
      <c r="AW132" s="19" t="n">
        <v>0</v>
      </c>
      <c r="AX132" s="19" t="n">
        <v>0</v>
      </c>
      <c r="AY132" s="19" t="n">
        <v>0</v>
      </c>
      <c r="AZ132" s="19" t="n">
        <v>0</v>
      </c>
      <c r="BA132" s="19" t="n">
        <v>0</v>
      </c>
      <c r="BB132" s="19" t="n">
        <v>0</v>
      </c>
      <c r="BC132" s="19" t="n">
        <v>0</v>
      </c>
      <c r="BD132" s="20" t="n">
        <f aca="false">SUM(D132:BC132)</f>
        <v>0.96</v>
      </c>
    </row>
    <row r="133" customFormat="false" ht="15" hidden="false" customHeight="false" outlineLevel="0" collapsed="false">
      <c r="A133" s="5" t="s">
        <v>309</v>
      </c>
      <c r="B133" s="5" t="s">
        <v>63</v>
      </c>
      <c r="C133" s="5" t="s">
        <v>179</v>
      </c>
      <c r="D133" s="19" t="n">
        <v>0</v>
      </c>
      <c r="E133" s="19" t="n">
        <v>0</v>
      </c>
      <c r="F133" s="19" t="n">
        <v>0</v>
      </c>
      <c r="G133" s="19" t="n">
        <v>0</v>
      </c>
      <c r="H133" s="19" t="n">
        <v>0</v>
      </c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0</v>
      </c>
      <c r="O133" s="19" t="n">
        <v>0</v>
      </c>
      <c r="P133" s="19" t="n">
        <v>0</v>
      </c>
      <c r="Q133" s="19" t="n">
        <v>0</v>
      </c>
      <c r="R133" s="19" t="n">
        <v>0</v>
      </c>
      <c r="S133" s="19" t="n">
        <v>0</v>
      </c>
      <c r="T133" s="19" t="n">
        <v>0</v>
      </c>
      <c r="U133" s="19" t="n">
        <v>0.09</v>
      </c>
      <c r="V133" s="19" t="n">
        <v>0.18</v>
      </c>
      <c r="W133" s="19" t="n">
        <v>0.09</v>
      </c>
      <c r="X133" s="19" t="n">
        <v>0</v>
      </c>
      <c r="Y133" s="19" t="n">
        <v>0</v>
      </c>
      <c r="Z133" s="19" t="n">
        <v>0</v>
      </c>
      <c r="AA133" s="19" t="n">
        <v>0</v>
      </c>
      <c r="AB133" s="19" t="n">
        <v>0</v>
      </c>
      <c r="AC133" s="19" t="n">
        <v>0</v>
      </c>
      <c r="AD133" s="19" t="n">
        <v>0</v>
      </c>
      <c r="AE133" s="19" t="n">
        <v>0</v>
      </c>
      <c r="AF133" s="19" t="n">
        <v>0</v>
      </c>
      <c r="AG133" s="19" t="n">
        <v>0</v>
      </c>
      <c r="AH133" s="19" t="n">
        <v>0</v>
      </c>
      <c r="AI133" s="19" t="n">
        <v>0</v>
      </c>
      <c r="AJ133" s="19" t="n">
        <v>0</v>
      </c>
      <c r="AK133" s="19" t="n">
        <v>0</v>
      </c>
      <c r="AL133" s="19" t="n">
        <v>0</v>
      </c>
      <c r="AM133" s="19" t="n">
        <v>0</v>
      </c>
      <c r="AN133" s="19" t="n">
        <v>0</v>
      </c>
      <c r="AO133" s="19" t="n">
        <v>0</v>
      </c>
      <c r="AP133" s="19" t="n">
        <v>0</v>
      </c>
      <c r="AQ133" s="19" t="n">
        <v>0</v>
      </c>
      <c r="AR133" s="19" t="n">
        <v>0</v>
      </c>
      <c r="AS133" s="19" t="n">
        <v>0</v>
      </c>
      <c r="AT133" s="19" t="n">
        <v>0</v>
      </c>
      <c r="AU133" s="19" t="n">
        <v>0</v>
      </c>
      <c r="AV133" s="19" t="n">
        <v>0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20" t="n">
        <f aca="false">SUM(D133:BC133)</f>
        <v>0.36</v>
      </c>
    </row>
    <row r="134" customFormat="false" ht="15" hidden="false" customHeight="false" outlineLevel="0" collapsed="false">
      <c r="A134" s="5" t="s">
        <v>310</v>
      </c>
      <c r="B134" s="5" t="s">
        <v>69</v>
      </c>
      <c r="C134" s="5" t="s">
        <v>179</v>
      </c>
      <c r="D134" s="19" t="n">
        <v>0</v>
      </c>
      <c r="E134" s="19" t="n">
        <v>0</v>
      </c>
      <c r="F134" s="19" t="n">
        <v>0</v>
      </c>
      <c r="G134" s="19" t="n">
        <v>0</v>
      </c>
      <c r="H134" s="19" t="n">
        <v>0</v>
      </c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0</v>
      </c>
      <c r="O134" s="19" t="n">
        <v>0</v>
      </c>
      <c r="P134" s="19" t="n">
        <v>0</v>
      </c>
      <c r="Q134" s="19" t="n">
        <v>0</v>
      </c>
      <c r="R134" s="19" t="n">
        <v>0</v>
      </c>
      <c r="S134" s="19" t="n">
        <v>0</v>
      </c>
      <c r="T134" s="19" t="n">
        <v>0</v>
      </c>
      <c r="U134" s="19" t="n">
        <v>0</v>
      </c>
      <c r="V134" s="19" t="n">
        <v>0</v>
      </c>
      <c r="W134" s="19" t="n">
        <v>0</v>
      </c>
      <c r="X134" s="19" t="n">
        <v>0</v>
      </c>
      <c r="Y134" s="19" t="n">
        <v>0</v>
      </c>
      <c r="Z134" s="19" t="n">
        <v>0</v>
      </c>
      <c r="AA134" s="19" t="n">
        <v>0</v>
      </c>
      <c r="AB134" s="19" t="n">
        <v>0.09</v>
      </c>
      <c r="AC134" s="19" t="n">
        <v>0.27</v>
      </c>
      <c r="AD134" s="19" t="n">
        <v>0.27</v>
      </c>
      <c r="AE134" s="19" t="n">
        <v>0.09</v>
      </c>
      <c r="AF134" s="19" t="n">
        <v>0</v>
      </c>
      <c r="AG134" s="19" t="n">
        <v>0</v>
      </c>
      <c r="AH134" s="19" t="n">
        <v>0</v>
      </c>
      <c r="AI134" s="19" t="n">
        <v>0</v>
      </c>
      <c r="AJ134" s="19" t="n">
        <v>0</v>
      </c>
      <c r="AK134" s="19" t="n">
        <v>0</v>
      </c>
      <c r="AL134" s="19" t="n">
        <v>0</v>
      </c>
      <c r="AM134" s="19" t="n">
        <v>0</v>
      </c>
      <c r="AN134" s="19" t="n">
        <v>0</v>
      </c>
      <c r="AO134" s="19" t="n">
        <v>0</v>
      </c>
      <c r="AP134" s="19" t="n">
        <v>0</v>
      </c>
      <c r="AQ134" s="19" t="n">
        <v>0</v>
      </c>
      <c r="AR134" s="19" t="n">
        <v>0</v>
      </c>
      <c r="AS134" s="19" t="n">
        <v>0</v>
      </c>
      <c r="AT134" s="19" t="n">
        <v>0</v>
      </c>
      <c r="AU134" s="19" t="n">
        <v>0</v>
      </c>
      <c r="AV134" s="19" t="n">
        <v>0</v>
      </c>
      <c r="AW134" s="19" t="n">
        <v>0</v>
      </c>
      <c r="AX134" s="19" t="n">
        <v>0</v>
      </c>
      <c r="AY134" s="19" t="n">
        <v>0</v>
      </c>
      <c r="AZ134" s="19" t="n">
        <v>0</v>
      </c>
      <c r="BA134" s="19" t="n">
        <v>0</v>
      </c>
      <c r="BB134" s="19" t="n">
        <v>0</v>
      </c>
      <c r="BC134" s="19" t="n">
        <v>0</v>
      </c>
      <c r="BD134" s="20" t="n">
        <f aca="false">SUM(D134:BC134)</f>
        <v>0.72</v>
      </c>
    </row>
    <row r="135" customFormat="false" ht="15" hidden="false" customHeight="false" outlineLevel="0" collapsed="false">
      <c r="A135" s="5" t="s">
        <v>311</v>
      </c>
      <c r="B135" s="5" t="s">
        <v>62</v>
      </c>
      <c r="C135" s="5" t="s">
        <v>179</v>
      </c>
      <c r="D135" s="19" t="n">
        <v>0</v>
      </c>
      <c r="E135" s="19" t="n">
        <v>0</v>
      </c>
      <c r="F135" s="19" t="n">
        <v>0</v>
      </c>
      <c r="G135" s="19" t="n">
        <v>0</v>
      </c>
      <c r="H135" s="19" t="n">
        <v>0</v>
      </c>
      <c r="I135" s="19" t="n">
        <v>0</v>
      </c>
      <c r="J135" s="19" t="n">
        <v>0</v>
      </c>
      <c r="K135" s="19" t="n">
        <v>0</v>
      </c>
      <c r="L135" s="19" t="n">
        <v>0</v>
      </c>
      <c r="M135" s="19" t="n">
        <v>0</v>
      </c>
      <c r="N135" s="19" t="n">
        <v>0</v>
      </c>
      <c r="O135" s="19" t="n">
        <v>0</v>
      </c>
      <c r="P135" s="19" t="n">
        <v>0</v>
      </c>
      <c r="Q135" s="19" t="n">
        <v>0</v>
      </c>
      <c r="R135" s="19" t="n">
        <v>0</v>
      </c>
      <c r="S135" s="19" t="n">
        <v>0</v>
      </c>
      <c r="T135" s="19" t="n">
        <v>0</v>
      </c>
      <c r="U135" s="19" t="n">
        <v>0.06</v>
      </c>
      <c r="V135" s="19" t="n">
        <v>0.11</v>
      </c>
      <c r="W135" s="19" t="n">
        <v>0.06</v>
      </c>
      <c r="X135" s="19" t="n">
        <v>0</v>
      </c>
      <c r="Y135" s="19" t="n">
        <v>0</v>
      </c>
      <c r="Z135" s="19" t="n">
        <v>0</v>
      </c>
      <c r="AA135" s="19" t="n">
        <v>0</v>
      </c>
      <c r="AB135" s="19" t="n">
        <v>0</v>
      </c>
      <c r="AC135" s="19" t="n">
        <v>0.06</v>
      </c>
      <c r="AD135" s="19" t="n">
        <v>0.17</v>
      </c>
      <c r="AE135" s="19" t="n">
        <v>0.17</v>
      </c>
      <c r="AF135" s="19" t="n">
        <v>0.06</v>
      </c>
      <c r="AG135" s="19" t="n">
        <v>0</v>
      </c>
      <c r="AH135" s="19" t="n">
        <v>0</v>
      </c>
      <c r="AI135" s="19" t="n">
        <v>0</v>
      </c>
      <c r="AJ135" s="19" t="n">
        <v>0</v>
      </c>
      <c r="AK135" s="19" t="n">
        <v>0</v>
      </c>
      <c r="AL135" s="19" t="n">
        <v>0</v>
      </c>
      <c r="AM135" s="19" t="n">
        <v>0</v>
      </c>
      <c r="AN135" s="19" t="n">
        <v>0</v>
      </c>
      <c r="AO135" s="19" t="n">
        <v>0</v>
      </c>
      <c r="AP135" s="19" t="n">
        <v>0</v>
      </c>
      <c r="AQ135" s="19" t="n">
        <v>0</v>
      </c>
      <c r="AR135" s="19" t="n">
        <v>0</v>
      </c>
      <c r="AS135" s="19" t="n">
        <v>0</v>
      </c>
      <c r="AT135" s="19" t="n">
        <v>0</v>
      </c>
      <c r="AU135" s="19" t="n">
        <v>0</v>
      </c>
      <c r="AV135" s="19" t="n">
        <v>0.08</v>
      </c>
      <c r="AW135" s="19" t="n">
        <v>0.17</v>
      </c>
      <c r="AX135" s="19" t="n">
        <v>0.08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20" t="n">
        <f aca="false">SUM(D135:BC135)</f>
        <v>1.02</v>
      </c>
    </row>
    <row r="136" customFormat="false" ht="15" hidden="false" customHeight="false" outlineLevel="0" collapsed="false">
      <c r="A136" s="5" t="s">
        <v>312</v>
      </c>
      <c r="B136" s="5" t="s">
        <v>69</v>
      </c>
      <c r="C136" s="5" t="s">
        <v>179</v>
      </c>
      <c r="D136" s="19" t="n">
        <v>0</v>
      </c>
      <c r="E136" s="19" t="n">
        <v>0</v>
      </c>
      <c r="F136" s="19" t="n">
        <v>0</v>
      </c>
      <c r="G136" s="19" t="n">
        <v>0</v>
      </c>
      <c r="H136" s="19" t="n">
        <v>0</v>
      </c>
      <c r="I136" s="19" t="n">
        <v>0</v>
      </c>
      <c r="J136" s="19" t="n">
        <v>0</v>
      </c>
      <c r="K136" s="19" t="n">
        <v>0</v>
      </c>
      <c r="L136" s="19" t="n">
        <v>0</v>
      </c>
      <c r="M136" s="19" t="n">
        <v>0</v>
      </c>
      <c r="N136" s="19" t="n">
        <v>0</v>
      </c>
      <c r="O136" s="19" t="n">
        <v>0</v>
      </c>
      <c r="P136" s="19" t="n">
        <v>0</v>
      </c>
      <c r="Q136" s="19" t="n">
        <v>0</v>
      </c>
      <c r="R136" s="19" t="n">
        <v>0</v>
      </c>
      <c r="S136" s="19" t="n">
        <v>0</v>
      </c>
      <c r="T136" s="19" t="n">
        <v>0</v>
      </c>
      <c r="U136" s="19" t="n">
        <v>0.09</v>
      </c>
      <c r="V136" s="19" t="n">
        <v>0.18</v>
      </c>
      <c r="W136" s="19" t="n">
        <v>0.18</v>
      </c>
      <c r="X136" s="19" t="n">
        <v>0.18</v>
      </c>
      <c r="Y136" s="19" t="n">
        <v>0.09</v>
      </c>
      <c r="Z136" s="19" t="n">
        <v>0</v>
      </c>
      <c r="AA136" s="19" t="n">
        <v>0</v>
      </c>
      <c r="AB136" s="19" t="n">
        <v>0</v>
      </c>
      <c r="AC136" s="19" t="n">
        <v>0</v>
      </c>
      <c r="AD136" s="19" t="n">
        <v>0</v>
      </c>
      <c r="AE136" s="19" t="n">
        <v>0</v>
      </c>
      <c r="AF136" s="19" t="n">
        <v>0</v>
      </c>
      <c r="AG136" s="19" t="n">
        <v>0</v>
      </c>
      <c r="AH136" s="19" t="n">
        <v>0</v>
      </c>
      <c r="AI136" s="19" t="n">
        <v>0</v>
      </c>
      <c r="AJ136" s="19" t="n">
        <v>0</v>
      </c>
      <c r="AK136" s="19" t="n">
        <v>0</v>
      </c>
      <c r="AL136" s="19" t="n">
        <v>0</v>
      </c>
      <c r="AM136" s="19" t="n">
        <v>0</v>
      </c>
      <c r="AN136" s="19" t="n">
        <v>0</v>
      </c>
      <c r="AO136" s="19" t="n">
        <v>0</v>
      </c>
      <c r="AP136" s="19" t="n">
        <v>0</v>
      </c>
      <c r="AQ136" s="19" t="n">
        <v>0</v>
      </c>
      <c r="AR136" s="19" t="n">
        <v>0</v>
      </c>
      <c r="AS136" s="19" t="n">
        <v>0</v>
      </c>
      <c r="AT136" s="19" t="n">
        <v>0</v>
      </c>
      <c r="AU136" s="19" t="n">
        <v>0</v>
      </c>
      <c r="AV136" s="19" t="n">
        <v>0</v>
      </c>
      <c r="AW136" s="19" t="n">
        <v>0</v>
      </c>
      <c r="AX136" s="19" t="n">
        <v>0</v>
      </c>
      <c r="AY136" s="19" t="n">
        <v>0</v>
      </c>
      <c r="AZ136" s="19" t="n">
        <v>0</v>
      </c>
      <c r="BA136" s="19" t="n">
        <v>0</v>
      </c>
      <c r="BB136" s="19" t="n">
        <v>0</v>
      </c>
      <c r="BC136" s="19" t="n">
        <v>0</v>
      </c>
      <c r="BD136" s="20" t="n">
        <f aca="false">SUM(D136:BC136)</f>
        <v>0.72</v>
      </c>
    </row>
    <row r="137" customFormat="false" ht="15" hidden="false" customHeight="false" outlineLevel="0" collapsed="false">
      <c r="A137" s="5" t="s">
        <v>313</v>
      </c>
      <c r="B137" s="5" t="s">
        <v>57</v>
      </c>
      <c r="C137" s="5" t="s">
        <v>179</v>
      </c>
      <c r="D137" s="19" t="n">
        <v>0</v>
      </c>
      <c r="E137" s="19" t="n">
        <v>0</v>
      </c>
      <c r="F137" s="19" t="n">
        <v>0</v>
      </c>
      <c r="G137" s="19" t="n">
        <v>0</v>
      </c>
      <c r="H137" s="19" t="n">
        <v>0</v>
      </c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0</v>
      </c>
      <c r="O137" s="19" t="n">
        <v>0</v>
      </c>
      <c r="P137" s="19" t="n">
        <v>0</v>
      </c>
      <c r="Q137" s="19" t="n">
        <v>0</v>
      </c>
      <c r="R137" s="19" t="n">
        <v>0</v>
      </c>
      <c r="S137" s="19" t="n">
        <v>0</v>
      </c>
      <c r="T137" s="19" t="n">
        <v>0.08</v>
      </c>
      <c r="U137" s="19" t="n">
        <v>0.24</v>
      </c>
      <c r="V137" s="19" t="n">
        <v>0.24</v>
      </c>
      <c r="W137" s="19" t="n">
        <v>0.08</v>
      </c>
      <c r="X137" s="19" t="n">
        <v>0.08</v>
      </c>
      <c r="Y137" s="19" t="n">
        <v>0.16</v>
      </c>
      <c r="Z137" s="19" t="n">
        <v>0.08</v>
      </c>
      <c r="AA137" s="19" t="n">
        <v>0.08</v>
      </c>
      <c r="AB137" s="19" t="n">
        <v>0.21</v>
      </c>
      <c r="AC137" s="19" t="n">
        <v>0.19</v>
      </c>
      <c r="AD137" s="19" t="n">
        <v>0.06</v>
      </c>
      <c r="AE137" s="19" t="n">
        <v>0</v>
      </c>
      <c r="AF137" s="19" t="n">
        <v>0</v>
      </c>
      <c r="AG137" s="19" t="n">
        <v>0</v>
      </c>
      <c r="AH137" s="19" t="n">
        <v>0</v>
      </c>
      <c r="AI137" s="19" t="n">
        <v>0</v>
      </c>
      <c r="AJ137" s="19" t="n">
        <v>0</v>
      </c>
      <c r="AK137" s="19" t="n">
        <v>0</v>
      </c>
      <c r="AL137" s="19" t="n">
        <v>0</v>
      </c>
      <c r="AM137" s="19" t="n">
        <v>0</v>
      </c>
      <c r="AN137" s="19" t="n">
        <v>0</v>
      </c>
      <c r="AO137" s="19" t="n">
        <v>0</v>
      </c>
      <c r="AP137" s="19" t="n">
        <v>0</v>
      </c>
      <c r="AQ137" s="19" t="n">
        <v>0</v>
      </c>
      <c r="AR137" s="19" t="n">
        <v>0</v>
      </c>
      <c r="AS137" s="19" t="n">
        <v>0</v>
      </c>
      <c r="AT137" s="19" t="n">
        <v>0</v>
      </c>
      <c r="AU137" s="19" t="n">
        <v>0</v>
      </c>
      <c r="AV137" s="19" t="n">
        <v>0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20" t="n">
        <f aca="false">SUM(D137:BC137)</f>
        <v>1.5</v>
      </c>
    </row>
    <row r="138" customFormat="false" ht="15" hidden="false" customHeight="false" outlineLevel="0" collapsed="false">
      <c r="A138" s="5" t="s">
        <v>314</v>
      </c>
      <c r="B138" s="5" t="s">
        <v>57</v>
      </c>
      <c r="C138" s="5" t="s">
        <v>179</v>
      </c>
      <c r="D138" s="19" t="n">
        <v>0</v>
      </c>
      <c r="E138" s="19" t="n">
        <v>0</v>
      </c>
      <c r="F138" s="19" t="n">
        <v>0</v>
      </c>
      <c r="G138" s="19" t="n">
        <v>0</v>
      </c>
      <c r="H138" s="19" t="n">
        <v>0</v>
      </c>
      <c r="I138" s="19" t="n">
        <v>0</v>
      </c>
      <c r="J138" s="19" t="n">
        <v>0</v>
      </c>
      <c r="K138" s="19" t="n">
        <v>0</v>
      </c>
      <c r="L138" s="19" t="n">
        <v>0</v>
      </c>
      <c r="M138" s="19" t="n">
        <v>0.09</v>
      </c>
      <c r="N138" s="19" t="n">
        <v>0.25</v>
      </c>
      <c r="O138" s="19" t="n">
        <v>0.29</v>
      </c>
      <c r="P138" s="19" t="n">
        <v>0.2</v>
      </c>
      <c r="Q138" s="19" t="n">
        <v>0.07</v>
      </c>
      <c r="R138" s="19" t="n">
        <v>0.18</v>
      </c>
      <c r="S138" s="19" t="n">
        <v>0.36</v>
      </c>
      <c r="T138" s="19" t="n">
        <v>0.18</v>
      </c>
      <c r="U138" s="19" t="n">
        <v>0.05</v>
      </c>
      <c r="V138" s="19" t="n">
        <v>0.15</v>
      </c>
      <c r="W138" s="19" t="n">
        <v>0.23</v>
      </c>
      <c r="X138" s="19" t="n">
        <v>0.24</v>
      </c>
      <c r="Y138" s="19" t="n">
        <v>0.16</v>
      </c>
      <c r="Z138" s="19" t="n">
        <v>0.05</v>
      </c>
      <c r="AA138" s="19" t="n">
        <v>0.09</v>
      </c>
      <c r="AB138" s="19" t="n">
        <v>0.18</v>
      </c>
      <c r="AC138" s="19" t="n">
        <v>0.09</v>
      </c>
      <c r="AD138" s="19" t="n">
        <v>0</v>
      </c>
      <c r="AE138" s="19" t="n">
        <v>0</v>
      </c>
      <c r="AF138" s="19" t="n">
        <v>0</v>
      </c>
      <c r="AG138" s="19" t="n">
        <v>0</v>
      </c>
      <c r="AH138" s="19" t="n">
        <v>0</v>
      </c>
      <c r="AI138" s="19" t="n">
        <v>0</v>
      </c>
      <c r="AJ138" s="19" t="n">
        <v>0</v>
      </c>
      <c r="AK138" s="19" t="n">
        <v>0</v>
      </c>
      <c r="AL138" s="19" t="n">
        <v>0</v>
      </c>
      <c r="AM138" s="19" t="n">
        <v>0</v>
      </c>
      <c r="AN138" s="19" t="n">
        <v>0</v>
      </c>
      <c r="AO138" s="19" t="n">
        <v>0</v>
      </c>
      <c r="AP138" s="19" t="n">
        <v>0</v>
      </c>
      <c r="AQ138" s="19" t="n">
        <v>0</v>
      </c>
      <c r="AR138" s="19" t="n">
        <v>0</v>
      </c>
      <c r="AS138" s="19" t="n">
        <v>0</v>
      </c>
      <c r="AT138" s="19" t="n">
        <v>0</v>
      </c>
      <c r="AU138" s="19" t="n">
        <v>0</v>
      </c>
      <c r="AV138" s="19" t="n">
        <v>0</v>
      </c>
      <c r="AW138" s="19" t="n">
        <v>0</v>
      </c>
      <c r="AX138" s="19" t="n">
        <v>0</v>
      </c>
      <c r="AY138" s="19" t="n">
        <v>0</v>
      </c>
      <c r="AZ138" s="19" t="n">
        <v>0</v>
      </c>
      <c r="BA138" s="19" t="n">
        <v>0</v>
      </c>
      <c r="BB138" s="19" t="n">
        <v>0</v>
      </c>
      <c r="BC138" s="19" t="n">
        <v>0</v>
      </c>
      <c r="BD138" s="20" t="n">
        <f aca="false">SUM(D138:BC138)</f>
        <v>2.86</v>
      </c>
    </row>
    <row r="139" customFormat="false" ht="15" hidden="false" customHeight="false" outlineLevel="0" collapsed="false">
      <c r="A139" s="5" t="s">
        <v>315</v>
      </c>
      <c r="B139" s="5" t="s">
        <v>63</v>
      </c>
      <c r="C139" s="5" t="s">
        <v>179</v>
      </c>
      <c r="D139" s="19" t="n">
        <v>0</v>
      </c>
      <c r="E139" s="19" t="n">
        <v>0</v>
      </c>
      <c r="F139" s="19" t="n">
        <v>0</v>
      </c>
      <c r="G139" s="19" t="n">
        <v>0</v>
      </c>
      <c r="H139" s="19" t="n">
        <v>0</v>
      </c>
      <c r="I139" s="19" t="n">
        <v>0</v>
      </c>
      <c r="J139" s="19" t="n">
        <v>0</v>
      </c>
      <c r="K139" s="19" t="n">
        <v>0</v>
      </c>
      <c r="L139" s="19" t="n">
        <v>0</v>
      </c>
      <c r="M139" s="19" t="n">
        <v>0</v>
      </c>
      <c r="N139" s="19" t="n">
        <v>0</v>
      </c>
      <c r="O139" s="19" t="n">
        <v>0</v>
      </c>
      <c r="P139" s="19" t="n">
        <v>0</v>
      </c>
      <c r="Q139" s="19" t="n">
        <v>0</v>
      </c>
      <c r="R139" s="19" t="n">
        <v>0</v>
      </c>
      <c r="S139" s="19" t="n">
        <v>0</v>
      </c>
      <c r="T139" s="19" t="n">
        <v>0</v>
      </c>
      <c r="U139" s="19" t="n">
        <v>0</v>
      </c>
      <c r="V139" s="19" t="n">
        <v>0</v>
      </c>
      <c r="W139" s="19" t="n">
        <v>0</v>
      </c>
      <c r="X139" s="19" t="n">
        <v>0</v>
      </c>
      <c r="Y139" s="19" t="n">
        <v>0.16</v>
      </c>
      <c r="Z139" s="19" t="n">
        <v>0.32</v>
      </c>
      <c r="AA139" s="19" t="n">
        <v>0.16</v>
      </c>
      <c r="AB139" s="19" t="n">
        <v>0</v>
      </c>
      <c r="AC139" s="19" t="n">
        <v>0</v>
      </c>
      <c r="AD139" s="19" t="n">
        <v>0</v>
      </c>
      <c r="AE139" s="19" t="n">
        <v>0</v>
      </c>
      <c r="AF139" s="19" t="n">
        <v>0</v>
      </c>
      <c r="AG139" s="19" t="n">
        <v>0</v>
      </c>
      <c r="AH139" s="19" t="n">
        <v>0</v>
      </c>
      <c r="AI139" s="19" t="n">
        <v>0</v>
      </c>
      <c r="AJ139" s="19" t="n">
        <v>0</v>
      </c>
      <c r="AK139" s="19" t="n">
        <v>0</v>
      </c>
      <c r="AL139" s="19" t="n">
        <v>0</v>
      </c>
      <c r="AM139" s="19" t="n">
        <v>0</v>
      </c>
      <c r="AN139" s="19" t="n">
        <v>0</v>
      </c>
      <c r="AO139" s="19" t="n">
        <v>0</v>
      </c>
      <c r="AP139" s="19" t="n">
        <v>0</v>
      </c>
      <c r="AQ139" s="19" t="n">
        <v>0</v>
      </c>
      <c r="AR139" s="19" t="n">
        <v>0</v>
      </c>
      <c r="AS139" s="19" t="n">
        <v>0</v>
      </c>
      <c r="AT139" s="19" t="n">
        <v>0</v>
      </c>
      <c r="AU139" s="19" t="n">
        <v>0</v>
      </c>
      <c r="AV139" s="19" t="n">
        <v>0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20" t="n">
        <f aca="false">SUM(D139:BC139)</f>
        <v>0.64</v>
      </c>
    </row>
    <row r="140" customFormat="false" ht="15" hidden="false" customHeight="false" outlineLevel="0" collapsed="false">
      <c r="A140" s="5" t="s">
        <v>316</v>
      </c>
      <c r="B140" s="5" t="s">
        <v>63</v>
      </c>
      <c r="C140" s="5" t="s">
        <v>179</v>
      </c>
      <c r="D140" s="19" t="n">
        <v>0</v>
      </c>
      <c r="E140" s="19" t="n">
        <v>0</v>
      </c>
      <c r="F140" s="19" t="n">
        <v>0</v>
      </c>
      <c r="G140" s="19" t="n">
        <v>0</v>
      </c>
      <c r="H140" s="19" t="n">
        <v>0</v>
      </c>
      <c r="I140" s="19" t="n">
        <v>0</v>
      </c>
      <c r="J140" s="19" t="n">
        <v>0</v>
      </c>
      <c r="K140" s="19" t="n">
        <v>0</v>
      </c>
      <c r="L140" s="19" t="n">
        <v>0</v>
      </c>
      <c r="M140" s="19" t="n">
        <v>0</v>
      </c>
      <c r="N140" s="19" t="n">
        <v>0</v>
      </c>
      <c r="O140" s="19" t="n">
        <v>0</v>
      </c>
      <c r="P140" s="19" t="n">
        <v>0</v>
      </c>
      <c r="Q140" s="19" t="n">
        <v>0</v>
      </c>
      <c r="R140" s="19" t="n">
        <v>0</v>
      </c>
      <c r="S140" s="19" t="n">
        <v>0</v>
      </c>
      <c r="T140" s="19" t="n">
        <v>0</v>
      </c>
      <c r="U140" s="19" t="n">
        <v>0</v>
      </c>
      <c r="V140" s="19" t="n">
        <v>0</v>
      </c>
      <c r="W140" s="19" t="n">
        <v>0</v>
      </c>
      <c r="X140" s="19" t="n">
        <v>0</v>
      </c>
      <c r="Y140" s="19" t="n">
        <v>0</v>
      </c>
      <c r="Z140" s="19" t="n">
        <v>0</v>
      </c>
      <c r="AA140" s="19" t="n">
        <v>0</v>
      </c>
      <c r="AB140" s="19" t="n">
        <v>0.08</v>
      </c>
      <c r="AC140" s="19" t="n">
        <v>0.16</v>
      </c>
      <c r="AD140" s="19" t="n">
        <v>0.08</v>
      </c>
      <c r="AE140" s="19" t="n">
        <v>0</v>
      </c>
      <c r="AF140" s="19" t="n">
        <v>0</v>
      </c>
      <c r="AG140" s="19" t="n">
        <v>0</v>
      </c>
      <c r="AH140" s="19" t="n">
        <v>0</v>
      </c>
      <c r="AI140" s="19" t="n">
        <v>0</v>
      </c>
      <c r="AJ140" s="19" t="n">
        <v>0</v>
      </c>
      <c r="AK140" s="19" t="n">
        <v>0</v>
      </c>
      <c r="AL140" s="19" t="n">
        <v>0</v>
      </c>
      <c r="AM140" s="19" t="n">
        <v>0</v>
      </c>
      <c r="AN140" s="19" t="n">
        <v>0</v>
      </c>
      <c r="AO140" s="19" t="n">
        <v>0</v>
      </c>
      <c r="AP140" s="19" t="n">
        <v>0</v>
      </c>
      <c r="AQ140" s="19" t="n">
        <v>0</v>
      </c>
      <c r="AR140" s="19" t="n">
        <v>0</v>
      </c>
      <c r="AS140" s="19" t="n">
        <v>0</v>
      </c>
      <c r="AT140" s="19" t="n">
        <v>0</v>
      </c>
      <c r="AU140" s="19" t="n">
        <v>0</v>
      </c>
      <c r="AV140" s="19" t="n">
        <v>0</v>
      </c>
      <c r="AW140" s="19" t="n">
        <v>0</v>
      </c>
      <c r="AX140" s="19" t="n">
        <v>0</v>
      </c>
      <c r="AY140" s="19" t="n">
        <v>0</v>
      </c>
      <c r="AZ140" s="19" t="n">
        <v>0</v>
      </c>
      <c r="BA140" s="19" t="n">
        <v>0</v>
      </c>
      <c r="BB140" s="19" t="n">
        <v>0</v>
      </c>
      <c r="BC140" s="19" t="n">
        <v>0</v>
      </c>
      <c r="BD140" s="20" t="n">
        <f aca="false">SUM(D140:BC140)</f>
        <v>0.32</v>
      </c>
    </row>
    <row r="141" customFormat="false" ht="15" hidden="false" customHeight="false" outlineLevel="0" collapsed="false">
      <c r="A141" s="5" t="s">
        <v>317</v>
      </c>
      <c r="B141" s="5" t="s">
        <v>45</v>
      </c>
      <c r="C141" s="5" t="s">
        <v>179</v>
      </c>
      <c r="D141" s="19" t="n">
        <v>0</v>
      </c>
      <c r="E141" s="19" t="n">
        <v>0</v>
      </c>
      <c r="F141" s="19" t="n">
        <v>0</v>
      </c>
      <c r="G141" s="19" t="n">
        <v>0</v>
      </c>
      <c r="H141" s="19" t="n">
        <v>0</v>
      </c>
      <c r="I141" s="19" t="n">
        <v>0</v>
      </c>
      <c r="J141" s="19" t="n">
        <v>0</v>
      </c>
      <c r="K141" s="19" t="n">
        <v>0</v>
      </c>
      <c r="L141" s="19" t="n">
        <v>0</v>
      </c>
      <c r="M141" s="19" t="n">
        <v>0</v>
      </c>
      <c r="N141" s="19" t="n">
        <v>0</v>
      </c>
      <c r="O141" s="19" t="n">
        <v>0</v>
      </c>
      <c r="P141" s="19" t="n">
        <v>0</v>
      </c>
      <c r="Q141" s="19" t="n">
        <v>0</v>
      </c>
      <c r="R141" s="19" t="n">
        <v>0</v>
      </c>
      <c r="S141" s="19" t="n">
        <v>0</v>
      </c>
      <c r="T141" s="19" t="n">
        <v>0</v>
      </c>
      <c r="U141" s="19" t="n">
        <v>0.02</v>
      </c>
      <c r="V141" s="19" t="n">
        <v>0.05</v>
      </c>
      <c r="W141" s="19" t="n">
        <v>0.02</v>
      </c>
      <c r="X141" s="19" t="n">
        <v>0</v>
      </c>
      <c r="Y141" s="19" t="n">
        <v>0</v>
      </c>
      <c r="Z141" s="19" t="n">
        <v>0</v>
      </c>
      <c r="AA141" s="19" t="n">
        <v>0</v>
      </c>
      <c r="AB141" s="19" t="n">
        <v>0</v>
      </c>
      <c r="AC141" s="19" t="n">
        <v>0</v>
      </c>
      <c r="AD141" s="19" t="n">
        <v>0</v>
      </c>
      <c r="AE141" s="19" t="n">
        <v>0</v>
      </c>
      <c r="AF141" s="19" t="n">
        <v>0</v>
      </c>
      <c r="AG141" s="19" t="n">
        <v>0</v>
      </c>
      <c r="AH141" s="19" t="n">
        <v>0.22</v>
      </c>
      <c r="AI141" s="19" t="n">
        <v>0.43</v>
      </c>
      <c r="AJ141" s="19" t="n">
        <v>0.22</v>
      </c>
      <c r="AK141" s="19" t="n">
        <v>0</v>
      </c>
      <c r="AL141" s="19" t="n">
        <v>0</v>
      </c>
      <c r="AM141" s="19" t="n">
        <v>0</v>
      </c>
      <c r="AN141" s="19" t="n">
        <v>0</v>
      </c>
      <c r="AO141" s="19" t="n">
        <v>0</v>
      </c>
      <c r="AP141" s="19" t="n">
        <v>0</v>
      </c>
      <c r="AQ141" s="19" t="n">
        <v>0</v>
      </c>
      <c r="AR141" s="19" t="n">
        <v>0</v>
      </c>
      <c r="AS141" s="19" t="n">
        <v>0</v>
      </c>
      <c r="AT141" s="19" t="n">
        <v>0</v>
      </c>
      <c r="AU141" s="19" t="n">
        <v>0</v>
      </c>
      <c r="AV141" s="19" t="n">
        <v>0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20" t="n">
        <f aca="false">SUM(D141:BC141)</f>
        <v>0.96</v>
      </c>
    </row>
    <row r="142" customFormat="false" ht="15" hidden="false" customHeight="false" outlineLevel="0" collapsed="false">
      <c r="A142" s="5" t="s">
        <v>318</v>
      </c>
      <c r="B142" s="5" t="s">
        <v>63</v>
      </c>
      <c r="C142" s="5" t="s">
        <v>179</v>
      </c>
      <c r="D142" s="19" t="n">
        <v>0</v>
      </c>
      <c r="E142" s="19" t="n">
        <v>0</v>
      </c>
      <c r="F142" s="19" t="n">
        <v>0</v>
      </c>
      <c r="G142" s="19" t="n">
        <v>0</v>
      </c>
      <c r="H142" s="19" t="n">
        <v>0</v>
      </c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0</v>
      </c>
      <c r="O142" s="19" t="n">
        <v>0</v>
      </c>
      <c r="P142" s="19" t="n">
        <v>0</v>
      </c>
      <c r="Q142" s="19" t="n">
        <v>0</v>
      </c>
      <c r="R142" s="19" t="n">
        <v>0</v>
      </c>
      <c r="S142" s="19" t="n">
        <v>0</v>
      </c>
      <c r="T142" s="19" t="n">
        <v>0</v>
      </c>
      <c r="U142" s="19" t="n">
        <v>0</v>
      </c>
      <c r="V142" s="19" t="n">
        <v>0</v>
      </c>
      <c r="W142" s="19" t="n">
        <v>0.08</v>
      </c>
      <c r="X142" s="19" t="n">
        <v>0.16</v>
      </c>
      <c r="Y142" s="19" t="n">
        <v>0.08</v>
      </c>
      <c r="Z142" s="19" t="n">
        <v>0</v>
      </c>
      <c r="AA142" s="19" t="n">
        <v>0</v>
      </c>
      <c r="AB142" s="19" t="n">
        <v>0</v>
      </c>
      <c r="AC142" s="19" t="n">
        <v>0</v>
      </c>
      <c r="AD142" s="19" t="n">
        <v>0</v>
      </c>
      <c r="AE142" s="19" t="n">
        <v>0</v>
      </c>
      <c r="AF142" s="19" t="n">
        <v>0</v>
      </c>
      <c r="AG142" s="19" t="n">
        <v>0</v>
      </c>
      <c r="AH142" s="19" t="n">
        <v>0</v>
      </c>
      <c r="AI142" s="19" t="n">
        <v>0</v>
      </c>
      <c r="AJ142" s="19" t="n">
        <v>0</v>
      </c>
      <c r="AK142" s="19" t="n">
        <v>0</v>
      </c>
      <c r="AL142" s="19" t="n">
        <v>0</v>
      </c>
      <c r="AM142" s="19" t="n">
        <v>0</v>
      </c>
      <c r="AN142" s="19" t="n">
        <v>0</v>
      </c>
      <c r="AO142" s="19" t="n">
        <v>0</v>
      </c>
      <c r="AP142" s="19" t="n">
        <v>0</v>
      </c>
      <c r="AQ142" s="19" t="n">
        <v>0</v>
      </c>
      <c r="AR142" s="19" t="n">
        <v>0</v>
      </c>
      <c r="AS142" s="19" t="n">
        <v>0</v>
      </c>
      <c r="AT142" s="19" t="n">
        <v>0</v>
      </c>
      <c r="AU142" s="19" t="n">
        <v>0</v>
      </c>
      <c r="AV142" s="19" t="n">
        <v>0</v>
      </c>
      <c r="AW142" s="19" t="n">
        <v>0</v>
      </c>
      <c r="AX142" s="19" t="n">
        <v>0</v>
      </c>
      <c r="AY142" s="19" t="n">
        <v>0</v>
      </c>
      <c r="AZ142" s="19" t="n">
        <v>0</v>
      </c>
      <c r="BA142" s="19" t="n">
        <v>0</v>
      </c>
      <c r="BB142" s="19" t="n">
        <v>0</v>
      </c>
      <c r="BC142" s="19" t="n">
        <v>0</v>
      </c>
      <c r="BD142" s="20" t="n">
        <f aca="false">SUM(D142:BC142)</f>
        <v>0.32</v>
      </c>
    </row>
    <row r="143" customFormat="false" ht="15" hidden="false" customHeight="false" outlineLevel="0" collapsed="false">
      <c r="A143" s="5" t="s">
        <v>319</v>
      </c>
      <c r="B143" s="5" t="s">
        <v>63</v>
      </c>
      <c r="C143" s="5" t="s">
        <v>179</v>
      </c>
      <c r="D143" s="19" t="n">
        <v>0</v>
      </c>
      <c r="E143" s="19" t="n">
        <v>0</v>
      </c>
      <c r="F143" s="19" t="n">
        <v>0</v>
      </c>
      <c r="G143" s="19" t="n">
        <v>0</v>
      </c>
      <c r="H143" s="19" t="n">
        <v>0</v>
      </c>
      <c r="I143" s="19" t="n">
        <v>0</v>
      </c>
      <c r="J143" s="19" t="n">
        <v>0</v>
      </c>
      <c r="K143" s="19" t="n">
        <v>0</v>
      </c>
      <c r="L143" s="19" t="n">
        <v>0.07</v>
      </c>
      <c r="M143" s="19" t="n">
        <v>0.14</v>
      </c>
      <c r="N143" s="19" t="n">
        <v>0.07</v>
      </c>
      <c r="O143" s="19" t="n">
        <v>0</v>
      </c>
      <c r="P143" s="19" t="n">
        <v>0</v>
      </c>
      <c r="Q143" s="19" t="n">
        <v>0</v>
      </c>
      <c r="R143" s="19" t="n">
        <v>0.28</v>
      </c>
      <c r="S143" s="19" t="n">
        <v>0.59</v>
      </c>
      <c r="T143" s="19" t="n">
        <v>0.33</v>
      </c>
      <c r="U143" s="19" t="n">
        <v>0.16</v>
      </c>
      <c r="V143" s="19" t="n">
        <v>0.29</v>
      </c>
      <c r="W143" s="19" t="n">
        <v>0.24</v>
      </c>
      <c r="X143" s="19" t="n">
        <v>0.32</v>
      </c>
      <c r="Y143" s="19" t="n">
        <v>0.6</v>
      </c>
      <c r="Z143" s="19" t="n">
        <v>0.54</v>
      </c>
      <c r="AA143" s="19" t="n">
        <v>0.34</v>
      </c>
      <c r="AB143" s="19" t="n">
        <v>0.32</v>
      </c>
      <c r="AC143" s="19" t="n">
        <v>0.24</v>
      </c>
      <c r="AD143" s="19" t="n">
        <v>0.19</v>
      </c>
      <c r="AE143" s="19" t="n">
        <v>0.15</v>
      </c>
      <c r="AF143" s="19" t="n">
        <v>0.03</v>
      </c>
      <c r="AG143" s="19" t="n">
        <v>0</v>
      </c>
      <c r="AH143" s="19" t="n">
        <v>0</v>
      </c>
      <c r="AI143" s="19" t="n">
        <v>0.08</v>
      </c>
      <c r="AJ143" s="19" t="n">
        <v>0.17</v>
      </c>
      <c r="AK143" s="19" t="n">
        <v>0.08</v>
      </c>
      <c r="AL143" s="19" t="n">
        <v>0</v>
      </c>
      <c r="AM143" s="19" t="n">
        <v>0</v>
      </c>
      <c r="AN143" s="19" t="n">
        <v>0.05</v>
      </c>
      <c r="AO143" s="19" t="n">
        <v>0.1</v>
      </c>
      <c r="AP143" s="19" t="n">
        <v>0.05</v>
      </c>
      <c r="AQ143" s="19" t="n">
        <v>0</v>
      </c>
      <c r="AR143" s="19" t="n">
        <v>0</v>
      </c>
      <c r="AS143" s="19" t="n">
        <v>0.1</v>
      </c>
      <c r="AT143" s="19" t="n">
        <v>0.2</v>
      </c>
      <c r="AU143" s="19" t="n">
        <v>0.1</v>
      </c>
      <c r="AV143" s="19" t="n">
        <v>0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20" t="n">
        <f aca="false">SUM(D143:BC143)</f>
        <v>5.83</v>
      </c>
    </row>
    <row r="144" customFormat="false" ht="15" hidden="false" customHeight="false" outlineLevel="0" collapsed="false">
      <c r="A144" s="5" t="s">
        <v>320</v>
      </c>
      <c r="B144" s="5" t="s">
        <v>45</v>
      </c>
      <c r="C144" s="5" t="s">
        <v>179</v>
      </c>
      <c r="D144" s="19" t="n">
        <v>0</v>
      </c>
      <c r="E144" s="19" t="n">
        <v>0</v>
      </c>
      <c r="F144" s="19" t="n">
        <v>0</v>
      </c>
      <c r="G144" s="19" t="n">
        <v>0</v>
      </c>
      <c r="H144" s="19" t="n">
        <v>0</v>
      </c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0</v>
      </c>
      <c r="O144" s="19" t="n">
        <v>0</v>
      </c>
      <c r="P144" s="19" t="n">
        <v>0</v>
      </c>
      <c r="Q144" s="19" t="n">
        <v>0</v>
      </c>
      <c r="R144" s="19" t="n">
        <v>0</v>
      </c>
      <c r="S144" s="19" t="n">
        <v>0</v>
      </c>
      <c r="T144" s="19" t="n">
        <v>0</v>
      </c>
      <c r="U144" s="19" t="n">
        <v>0.09</v>
      </c>
      <c r="V144" s="19" t="n">
        <v>0.27</v>
      </c>
      <c r="W144" s="19" t="n">
        <v>0.27</v>
      </c>
      <c r="X144" s="19" t="n">
        <v>0.36</v>
      </c>
      <c r="Y144" s="19" t="n">
        <v>0.54</v>
      </c>
      <c r="Z144" s="19" t="n">
        <v>0.27</v>
      </c>
      <c r="AA144" s="19" t="n">
        <v>0.18</v>
      </c>
      <c r="AB144" s="19" t="n">
        <v>0.36</v>
      </c>
      <c r="AC144" s="19" t="n">
        <v>0.18</v>
      </c>
      <c r="AD144" s="19" t="n">
        <v>0.09</v>
      </c>
      <c r="AE144" s="19" t="n">
        <v>0.18</v>
      </c>
      <c r="AF144" s="19" t="n">
        <v>0.09</v>
      </c>
      <c r="AG144" s="19" t="n">
        <v>0</v>
      </c>
      <c r="AH144" s="19" t="n">
        <v>0</v>
      </c>
      <c r="AI144" s="19" t="n">
        <v>0</v>
      </c>
      <c r="AJ144" s="19" t="n">
        <v>0</v>
      </c>
      <c r="AK144" s="19" t="n">
        <v>0</v>
      </c>
      <c r="AL144" s="19" t="n">
        <v>0</v>
      </c>
      <c r="AM144" s="19" t="n">
        <v>0</v>
      </c>
      <c r="AN144" s="19" t="n">
        <v>0</v>
      </c>
      <c r="AO144" s="19" t="n">
        <v>0</v>
      </c>
      <c r="AP144" s="19" t="n">
        <v>0</v>
      </c>
      <c r="AQ144" s="19" t="n">
        <v>0</v>
      </c>
      <c r="AR144" s="19" t="n">
        <v>0</v>
      </c>
      <c r="AS144" s="19" t="n">
        <v>0</v>
      </c>
      <c r="AT144" s="19" t="n">
        <v>0</v>
      </c>
      <c r="AU144" s="19" t="n">
        <v>0</v>
      </c>
      <c r="AV144" s="19" t="n">
        <v>0</v>
      </c>
      <c r="AW144" s="19" t="n">
        <v>0</v>
      </c>
      <c r="AX144" s="19" t="n">
        <v>0</v>
      </c>
      <c r="AY144" s="19" t="n">
        <v>0</v>
      </c>
      <c r="AZ144" s="19" t="n">
        <v>0</v>
      </c>
      <c r="BA144" s="19" t="n">
        <v>0</v>
      </c>
      <c r="BB144" s="19" t="n">
        <v>0</v>
      </c>
      <c r="BC144" s="19" t="n">
        <v>0</v>
      </c>
      <c r="BD144" s="20" t="n">
        <f aca="false">SUM(D144:BC144)</f>
        <v>2.88</v>
      </c>
    </row>
    <row r="145" customFormat="false" ht="15" hidden="false" customHeight="false" outlineLevel="0" collapsed="false">
      <c r="A145" s="5" t="s">
        <v>321</v>
      </c>
      <c r="B145" s="5" t="s">
        <v>63</v>
      </c>
      <c r="C145" s="5" t="s">
        <v>179</v>
      </c>
      <c r="D145" s="19" t="n">
        <v>0</v>
      </c>
      <c r="E145" s="19" t="n">
        <v>0</v>
      </c>
      <c r="F145" s="19" t="n">
        <v>0</v>
      </c>
      <c r="G145" s="19" t="n">
        <v>0</v>
      </c>
      <c r="H145" s="19" t="n">
        <v>0</v>
      </c>
      <c r="I145" s="19" t="n">
        <v>0</v>
      </c>
      <c r="J145" s="19" t="n">
        <v>0</v>
      </c>
      <c r="K145" s="19" t="n">
        <v>0</v>
      </c>
      <c r="L145" s="19" t="n">
        <v>0</v>
      </c>
      <c r="M145" s="19" t="n">
        <v>0</v>
      </c>
      <c r="N145" s="19" t="n">
        <v>0</v>
      </c>
      <c r="O145" s="19" t="n">
        <v>0</v>
      </c>
      <c r="P145" s="19" t="n">
        <v>0</v>
      </c>
      <c r="Q145" s="19" t="n">
        <v>0</v>
      </c>
      <c r="R145" s="19" t="n">
        <v>0</v>
      </c>
      <c r="S145" s="19" t="n">
        <v>0</v>
      </c>
      <c r="T145" s="19" t="n">
        <v>0</v>
      </c>
      <c r="U145" s="19" t="n">
        <v>0.09</v>
      </c>
      <c r="V145" s="19" t="n">
        <v>0.18</v>
      </c>
      <c r="W145" s="19" t="n">
        <v>0.09</v>
      </c>
      <c r="X145" s="19" t="n">
        <v>0</v>
      </c>
      <c r="Y145" s="19" t="n">
        <v>0</v>
      </c>
      <c r="Z145" s="19" t="n">
        <v>0</v>
      </c>
      <c r="AA145" s="19" t="n">
        <v>0</v>
      </c>
      <c r="AB145" s="19" t="n">
        <v>0</v>
      </c>
      <c r="AC145" s="19" t="n">
        <v>0</v>
      </c>
      <c r="AD145" s="19" t="n">
        <v>0</v>
      </c>
      <c r="AE145" s="19" t="n">
        <v>0</v>
      </c>
      <c r="AF145" s="19" t="n">
        <v>0</v>
      </c>
      <c r="AG145" s="19" t="n">
        <v>0</v>
      </c>
      <c r="AH145" s="19" t="n">
        <v>0</v>
      </c>
      <c r="AI145" s="19" t="n">
        <v>0</v>
      </c>
      <c r="AJ145" s="19" t="n">
        <v>0</v>
      </c>
      <c r="AK145" s="19" t="n">
        <v>0</v>
      </c>
      <c r="AL145" s="19" t="n">
        <v>0</v>
      </c>
      <c r="AM145" s="19" t="n">
        <v>0</v>
      </c>
      <c r="AN145" s="19" t="n">
        <v>0</v>
      </c>
      <c r="AO145" s="19" t="n">
        <v>0</v>
      </c>
      <c r="AP145" s="19" t="n">
        <v>0</v>
      </c>
      <c r="AQ145" s="19" t="n">
        <v>0</v>
      </c>
      <c r="AR145" s="19" t="n">
        <v>0</v>
      </c>
      <c r="AS145" s="19" t="n">
        <v>0</v>
      </c>
      <c r="AT145" s="19" t="n">
        <v>0</v>
      </c>
      <c r="AU145" s="19" t="n">
        <v>0</v>
      </c>
      <c r="AV145" s="19" t="n">
        <v>0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20" t="n">
        <f aca="false">SUM(D145:BC145)</f>
        <v>0.36</v>
      </c>
    </row>
    <row r="146" customFormat="false" ht="15" hidden="false" customHeight="false" outlineLevel="0" collapsed="false">
      <c r="A146" s="5" t="s">
        <v>322</v>
      </c>
      <c r="B146" s="5" t="s">
        <v>63</v>
      </c>
      <c r="C146" s="5" t="s">
        <v>179</v>
      </c>
      <c r="D146" s="19" t="n">
        <v>0</v>
      </c>
      <c r="E146" s="19" t="n">
        <v>0</v>
      </c>
      <c r="F146" s="19" t="n">
        <v>0</v>
      </c>
      <c r="G146" s="19" t="n">
        <v>0</v>
      </c>
      <c r="H146" s="19" t="n">
        <v>0</v>
      </c>
      <c r="I146" s="19" t="n">
        <v>0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  <c r="O146" s="19" t="n">
        <v>0</v>
      </c>
      <c r="P146" s="19" t="n">
        <v>0</v>
      </c>
      <c r="Q146" s="19" t="n">
        <v>0</v>
      </c>
      <c r="R146" s="19" t="n">
        <v>0</v>
      </c>
      <c r="S146" s="19" t="n">
        <v>0</v>
      </c>
      <c r="T146" s="19" t="n">
        <v>0</v>
      </c>
      <c r="U146" s="19" t="n">
        <v>0</v>
      </c>
      <c r="V146" s="19" t="n">
        <v>0</v>
      </c>
      <c r="W146" s="19" t="n">
        <v>0</v>
      </c>
      <c r="X146" s="19" t="n">
        <v>0</v>
      </c>
      <c r="Y146" s="19" t="n">
        <v>0</v>
      </c>
      <c r="Z146" s="19" t="n">
        <v>0</v>
      </c>
      <c r="AA146" s="19" t="n">
        <v>0</v>
      </c>
      <c r="AB146" s="19" t="n">
        <v>0</v>
      </c>
      <c r="AC146" s="19" t="n">
        <v>0</v>
      </c>
      <c r="AD146" s="19" t="n">
        <v>0</v>
      </c>
      <c r="AE146" s="19" t="n">
        <v>0</v>
      </c>
      <c r="AF146" s="19" t="n">
        <v>0</v>
      </c>
      <c r="AG146" s="19" t="n">
        <v>0</v>
      </c>
      <c r="AH146" s="19" t="n">
        <v>0</v>
      </c>
      <c r="AI146" s="19" t="n">
        <v>0</v>
      </c>
      <c r="AJ146" s="19" t="n">
        <v>0</v>
      </c>
      <c r="AK146" s="19" t="n">
        <v>0.08</v>
      </c>
      <c r="AL146" s="19" t="n">
        <v>0.17</v>
      </c>
      <c r="AM146" s="19" t="n">
        <v>0.08</v>
      </c>
      <c r="AN146" s="19" t="n">
        <v>0</v>
      </c>
      <c r="AO146" s="19" t="n">
        <v>0</v>
      </c>
      <c r="AP146" s="19" t="n">
        <v>0</v>
      </c>
      <c r="AQ146" s="19" t="n">
        <v>0</v>
      </c>
      <c r="AR146" s="19" t="n">
        <v>0</v>
      </c>
      <c r="AS146" s="19" t="n">
        <v>0</v>
      </c>
      <c r="AT146" s="19" t="n">
        <v>0</v>
      </c>
      <c r="AU146" s="19" t="n">
        <v>0</v>
      </c>
      <c r="AV146" s="19" t="n">
        <v>0</v>
      </c>
      <c r="AW146" s="19" t="n">
        <v>0</v>
      </c>
      <c r="AX146" s="19" t="n">
        <v>0</v>
      </c>
      <c r="AY146" s="19" t="n">
        <v>0</v>
      </c>
      <c r="AZ146" s="19" t="n">
        <v>0</v>
      </c>
      <c r="BA146" s="19" t="n">
        <v>0</v>
      </c>
      <c r="BB146" s="19" t="n">
        <v>0</v>
      </c>
      <c r="BC146" s="19" t="n">
        <v>0</v>
      </c>
      <c r="BD146" s="20" t="n">
        <f aca="false">SUM(D146:BC146)</f>
        <v>0.33</v>
      </c>
    </row>
    <row r="147" customFormat="false" ht="15" hidden="false" customHeight="false" outlineLevel="0" collapsed="false">
      <c r="A147" s="5" t="s">
        <v>323</v>
      </c>
      <c r="B147" s="5" t="s">
        <v>42</v>
      </c>
      <c r="C147" s="5" t="s">
        <v>179</v>
      </c>
      <c r="D147" s="19" t="n">
        <v>0</v>
      </c>
      <c r="E147" s="19" t="n">
        <v>0</v>
      </c>
      <c r="F147" s="19" t="n">
        <v>0</v>
      </c>
      <c r="G147" s="19" t="n">
        <v>0</v>
      </c>
      <c r="H147" s="19" t="n">
        <v>0</v>
      </c>
      <c r="I147" s="19" t="n">
        <v>0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  <c r="O147" s="19" t="n">
        <v>0</v>
      </c>
      <c r="P147" s="19" t="n">
        <v>0</v>
      </c>
      <c r="Q147" s="19" t="n">
        <v>0</v>
      </c>
      <c r="R147" s="19" t="n">
        <v>0</v>
      </c>
      <c r="S147" s="19" t="n">
        <v>0</v>
      </c>
      <c r="T147" s="19" t="n">
        <v>0</v>
      </c>
      <c r="U147" s="19" t="n">
        <v>0</v>
      </c>
      <c r="V147" s="19" t="n">
        <v>0</v>
      </c>
      <c r="W147" s="19" t="n">
        <v>0.09</v>
      </c>
      <c r="X147" s="19" t="n">
        <v>0.18</v>
      </c>
      <c r="Y147" s="19" t="n">
        <v>0.09</v>
      </c>
      <c r="Z147" s="19" t="n">
        <v>0</v>
      </c>
      <c r="AA147" s="19" t="n">
        <v>0</v>
      </c>
      <c r="AB147" s="19" t="n">
        <v>0</v>
      </c>
      <c r="AC147" s="19" t="n">
        <v>0</v>
      </c>
      <c r="AD147" s="19" t="n">
        <v>0</v>
      </c>
      <c r="AE147" s="19" t="n">
        <v>0</v>
      </c>
      <c r="AF147" s="19" t="n">
        <v>0</v>
      </c>
      <c r="AG147" s="19" t="n">
        <v>0</v>
      </c>
      <c r="AH147" s="19" t="n">
        <v>0</v>
      </c>
      <c r="AI147" s="19" t="n">
        <v>0</v>
      </c>
      <c r="AJ147" s="19" t="n">
        <v>0</v>
      </c>
      <c r="AK147" s="19" t="n">
        <v>0</v>
      </c>
      <c r="AL147" s="19" t="n">
        <v>0</v>
      </c>
      <c r="AM147" s="19" t="n">
        <v>0</v>
      </c>
      <c r="AN147" s="19" t="n">
        <v>0.05</v>
      </c>
      <c r="AO147" s="19" t="n">
        <v>0.15</v>
      </c>
      <c r="AP147" s="19" t="n">
        <v>0.15</v>
      </c>
      <c r="AQ147" s="19" t="n">
        <v>0.05</v>
      </c>
      <c r="AR147" s="19" t="n">
        <v>0</v>
      </c>
      <c r="AS147" s="19" t="n">
        <v>0</v>
      </c>
      <c r="AT147" s="19" t="n">
        <v>0</v>
      </c>
      <c r="AU147" s="19" t="n">
        <v>0</v>
      </c>
      <c r="AV147" s="19" t="n">
        <v>0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20" t="n">
        <f aca="false">SUM(D147:BC147)</f>
        <v>0.76</v>
      </c>
    </row>
    <row r="148" customFormat="false" ht="15" hidden="false" customHeight="false" outlineLevel="0" collapsed="false">
      <c r="A148" s="5" t="s">
        <v>324</v>
      </c>
      <c r="B148" s="5" t="s">
        <v>63</v>
      </c>
      <c r="C148" s="5" t="s">
        <v>179</v>
      </c>
      <c r="D148" s="19" t="n">
        <v>0</v>
      </c>
      <c r="E148" s="19" t="n">
        <v>0</v>
      </c>
      <c r="F148" s="19" t="n">
        <v>0</v>
      </c>
      <c r="G148" s="19" t="n">
        <v>0</v>
      </c>
      <c r="H148" s="19" t="n">
        <v>0</v>
      </c>
      <c r="I148" s="19" t="n">
        <v>0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  <c r="O148" s="19" t="n">
        <v>0</v>
      </c>
      <c r="P148" s="19" t="n">
        <v>0.06</v>
      </c>
      <c r="Q148" s="19" t="n">
        <v>0.11</v>
      </c>
      <c r="R148" s="19" t="n">
        <v>0.06</v>
      </c>
      <c r="S148" s="19" t="n">
        <v>0</v>
      </c>
      <c r="T148" s="19" t="n">
        <v>0</v>
      </c>
      <c r="U148" s="19" t="n">
        <v>0</v>
      </c>
      <c r="V148" s="19" t="n">
        <v>0</v>
      </c>
      <c r="W148" s="19" t="n">
        <v>0.03</v>
      </c>
      <c r="X148" s="19" t="n">
        <v>0.07</v>
      </c>
      <c r="Y148" s="19" t="n">
        <v>0.03</v>
      </c>
      <c r="Z148" s="19" t="n">
        <v>0</v>
      </c>
      <c r="AA148" s="19" t="n">
        <v>0</v>
      </c>
      <c r="AB148" s="19" t="n">
        <v>0</v>
      </c>
      <c r="AC148" s="19" t="n">
        <v>0</v>
      </c>
      <c r="AD148" s="19" t="n">
        <v>0</v>
      </c>
      <c r="AE148" s="19" t="n">
        <v>0</v>
      </c>
      <c r="AF148" s="19" t="n">
        <v>0</v>
      </c>
      <c r="AG148" s="19" t="n">
        <v>0</v>
      </c>
      <c r="AH148" s="19" t="n">
        <v>0.32</v>
      </c>
      <c r="AI148" s="19" t="n">
        <v>0.63</v>
      </c>
      <c r="AJ148" s="19" t="n">
        <v>0.32</v>
      </c>
      <c r="AK148" s="19" t="n">
        <v>0</v>
      </c>
      <c r="AL148" s="19" t="n">
        <v>0</v>
      </c>
      <c r="AM148" s="19" t="n">
        <v>0</v>
      </c>
      <c r="AN148" s="19" t="n">
        <v>0</v>
      </c>
      <c r="AO148" s="19" t="n">
        <v>0</v>
      </c>
      <c r="AP148" s="19" t="n">
        <v>0</v>
      </c>
      <c r="AQ148" s="19" t="n">
        <v>0</v>
      </c>
      <c r="AR148" s="19" t="n">
        <v>0</v>
      </c>
      <c r="AS148" s="19" t="n">
        <v>0</v>
      </c>
      <c r="AT148" s="19" t="n">
        <v>0</v>
      </c>
      <c r="AU148" s="19" t="n">
        <v>0</v>
      </c>
      <c r="AV148" s="19" t="n">
        <v>0</v>
      </c>
      <c r="AW148" s="19" t="n">
        <v>0</v>
      </c>
      <c r="AX148" s="19" t="n">
        <v>0</v>
      </c>
      <c r="AY148" s="19" t="n">
        <v>0</v>
      </c>
      <c r="AZ148" s="19" t="n">
        <v>0</v>
      </c>
      <c r="BA148" s="19" t="n">
        <v>0</v>
      </c>
      <c r="BB148" s="19" t="n">
        <v>0</v>
      </c>
      <c r="BC148" s="19" t="n">
        <v>0</v>
      </c>
      <c r="BD148" s="20" t="n">
        <f aca="false">SUM(D148:BC148)</f>
        <v>1.63</v>
      </c>
    </row>
    <row r="149" customFormat="false" ht="15" hidden="false" customHeight="false" outlineLevel="0" collapsed="false">
      <c r="A149" s="5" t="s">
        <v>325</v>
      </c>
      <c r="B149" s="5" t="s">
        <v>54</v>
      </c>
      <c r="C149" s="5" t="s">
        <v>179</v>
      </c>
      <c r="D149" s="19" t="n">
        <v>0</v>
      </c>
      <c r="E149" s="19" t="n">
        <v>0</v>
      </c>
      <c r="F149" s="19" t="n">
        <v>0</v>
      </c>
      <c r="G149" s="19" t="n">
        <v>0</v>
      </c>
      <c r="H149" s="19" t="n">
        <v>0</v>
      </c>
      <c r="I149" s="19" t="n">
        <v>0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  <c r="O149" s="19" t="n">
        <v>0</v>
      </c>
      <c r="P149" s="19" t="n">
        <v>0</v>
      </c>
      <c r="Q149" s="19" t="n">
        <v>0</v>
      </c>
      <c r="R149" s="19" t="n">
        <v>0.09</v>
      </c>
      <c r="S149" s="19" t="n">
        <v>0.18</v>
      </c>
      <c r="T149" s="19" t="n">
        <v>0.09</v>
      </c>
      <c r="U149" s="19" t="n">
        <v>0</v>
      </c>
      <c r="V149" s="19" t="n">
        <v>0</v>
      </c>
      <c r="W149" s="19" t="n">
        <v>0</v>
      </c>
      <c r="X149" s="19" t="n">
        <v>0</v>
      </c>
      <c r="Y149" s="19" t="n">
        <v>0</v>
      </c>
      <c r="Z149" s="19" t="n">
        <v>0</v>
      </c>
      <c r="AA149" s="19" t="n">
        <v>0</v>
      </c>
      <c r="AB149" s="19" t="n">
        <v>0</v>
      </c>
      <c r="AC149" s="19" t="n">
        <v>0</v>
      </c>
      <c r="AD149" s="19" t="n">
        <v>0</v>
      </c>
      <c r="AE149" s="19" t="n">
        <v>0</v>
      </c>
      <c r="AF149" s="19" t="n">
        <v>0</v>
      </c>
      <c r="AG149" s="19" t="n">
        <v>0</v>
      </c>
      <c r="AH149" s="19" t="n">
        <v>0</v>
      </c>
      <c r="AI149" s="19" t="n">
        <v>0</v>
      </c>
      <c r="AJ149" s="19" t="n">
        <v>0</v>
      </c>
      <c r="AK149" s="19" t="n">
        <v>0</v>
      </c>
      <c r="AL149" s="19" t="n">
        <v>0</v>
      </c>
      <c r="AM149" s="19" t="n">
        <v>0</v>
      </c>
      <c r="AN149" s="19" t="n">
        <v>0</v>
      </c>
      <c r="AO149" s="19" t="n">
        <v>0</v>
      </c>
      <c r="AP149" s="19" t="n">
        <v>0</v>
      </c>
      <c r="AQ149" s="19" t="n">
        <v>0</v>
      </c>
      <c r="AR149" s="19" t="n">
        <v>0</v>
      </c>
      <c r="AS149" s="19" t="n">
        <v>0</v>
      </c>
      <c r="AT149" s="19" t="n">
        <v>0</v>
      </c>
      <c r="AU149" s="19" t="n">
        <v>0</v>
      </c>
      <c r="AV149" s="19" t="n">
        <v>0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20" t="n">
        <f aca="false">SUM(D149:BC149)</f>
        <v>0.36</v>
      </c>
    </row>
    <row r="150" customFormat="false" ht="15" hidden="false" customHeight="false" outlineLevel="0" collapsed="false">
      <c r="A150" s="5" t="s">
        <v>326</v>
      </c>
      <c r="B150" s="5" t="s">
        <v>69</v>
      </c>
      <c r="C150" s="5" t="s">
        <v>179</v>
      </c>
      <c r="D150" s="19" t="n">
        <v>0</v>
      </c>
      <c r="E150" s="19" t="n">
        <v>0</v>
      </c>
      <c r="F150" s="19" t="n">
        <v>0</v>
      </c>
      <c r="G150" s="19" t="n">
        <v>0</v>
      </c>
      <c r="H150" s="19" t="n">
        <v>0</v>
      </c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0</v>
      </c>
      <c r="O150" s="19" t="n">
        <v>0</v>
      </c>
      <c r="P150" s="19" t="n">
        <v>0</v>
      </c>
      <c r="Q150" s="19" t="n">
        <v>0</v>
      </c>
      <c r="R150" s="19" t="n">
        <v>0</v>
      </c>
      <c r="S150" s="19" t="n">
        <v>0</v>
      </c>
      <c r="T150" s="19" t="n">
        <v>0</v>
      </c>
      <c r="U150" s="19" t="n">
        <v>0</v>
      </c>
      <c r="V150" s="19" t="n">
        <v>0</v>
      </c>
      <c r="W150" s="19" t="n">
        <v>0</v>
      </c>
      <c r="X150" s="19" t="n">
        <v>0</v>
      </c>
      <c r="Y150" s="19" t="n">
        <v>0</v>
      </c>
      <c r="Z150" s="19" t="n">
        <v>0</v>
      </c>
      <c r="AA150" s="19" t="n">
        <v>0</v>
      </c>
      <c r="AB150" s="19" t="n">
        <v>0</v>
      </c>
      <c r="AC150" s="19" t="n">
        <v>0</v>
      </c>
      <c r="AD150" s="19" t="n">
        <v>0.17</v>
      </c>
      <c r="AE150" s="19" t="n">
        <v>0.34</v>
      </c>
      <c r="AF150" s="19" t="n">
        <v>0.17</v>
      </c>
      <c r="AG150" s="19" t="n">
        <v>0</v>
      </c>
      <c r="AH150" s="19" t="n">
        <v>0</v>
      </c>
      <c r="AI150" s="19" t="n">
        <v>0</v>
      </c>
      <c r="AJ150" s="19" t="n">
        <v>0</v>
      </c>
      <c r="AK150" s="19" t="n">
        <v>0</v>
      </c>
      <c r="AL150" s="19" t="n">
        <v>0</v>
      </c>
      <c r="AM150" s="19" t="n">
        <v>0</v>
      </c>
      <c r="AN150" s="19" t="n">
        <v>0</v>
      </c>
      <c r="AO150" s="19" t="n">
        <v>0</v>
      </c>
      <c r="AP150" s="19" t="n">
        <v>0</v>
      </c>
      <c r="AQ150" s="19" t="n">
        <v>0</v>
      </c>
      <c r="AR150" s="19" t="n">
        <v>0</v>
      </c>
      <c r="AS150" s="19" t="n">
        <v>0</v>
      </c>
      <c r="AT150" s="19" t="n">
        <v>0</v>
      </c>
      <c r="AU150" s="19" t="n">
        <v>0</v>
      </c>
      <c r="AV150" s="19" t="n">
        <v>0</v>
      </c>
      <c r="AW150" s="19" t="n">
        <v>0</v>
      </c>
      <c r="AX150" s="19" t="n">
        <v>0</v>
      </c>
      <c r="AY150" s="19" t="n">
        <v>0</v>
      </c>
      <c r="AZ150" s="19" t="n">
        <v>0</v>
      </c>
      <c r="BA150" s="19" t="n">
        <v>0</v>
      </c>
      <c r="BB150" s="19" t="n">
        <v>0</v>
      </c>
      <c r="BC150" s="19" t="n">
        <v>0</v>
      </c>
      <c r="BD150" s="20" t="n">
        <f aca="false">SUM(D150:BC150)</f>
        <v>0.68</v>
      </c>
    </row>
    <row r="151" customFormat="false" ht="15" hidden="false" customHeight="false" outlineLevel="0" collapsed="false">
      <c r="A151" s="5" t="s">
        <v>327</v>
      </c>
      <c r="B151" s="5" t="s">
        <v>63</v>
      </c>
      <c r="C151" s="5" t="s">
        <v>179</v>
      </c>
      <c r="D151" s="19" t="n">
        <v>0</v>
      </c>
      <c r="E151" s="19" t="n">
        <v>0</v>
      </c>
      <c r="F151" s="19" t="n">
        <v>0</v>
      </c>
      <c r="G151" s="19" t="n">
        <v>0</v>
      </c>
      <c r="H151" s="19" t="n">
        <v>0</v>
      </c>
      <c r="I151" s="19" t="n">
        <v>0</v>
      </c>
      <c r="J151" s="19" t="n">
        <v>0</v>
      </c>
      <c r="K151" s="19" t="n">
        <v>0</v>
      </c>
      <c r="L151" s="19" t="n">
        <v>0</v>
      </c>
      <c r="M151" s="19" t="n">
        <v>0</v>
      </c>
      <c r="N151" s="19" t="n">
        <v>0</v>
      </c>
      <c r="O151" s="19" t="n">
        <v>0</v>
      </c>
      <c r="P151" s="19" t="n">
        <v>0.06</v>
      </c>
      <c r="Q151" s="19" t="n">
        <v>0.11</v>
      </c>
      <c r="R151" s="19" t="n">
        <v>0.06</v>
      </c>
      <c r="S151" s="19" t="n">
        <v>0</v>
      </c>
      <c r="T151" s="19" t="n">
        <v>0</v>
      </c>
      <c r="U151" s="19" t="n">
        <v>0</v>
      </c>
      <c r="V151" s="19" t="n">
        <v>0</v>
      </c>
      <c r="W151" s="19" t="n">
        <v>0</v>
      </c>
      <c r="X151" s="19" t="n">
        <v>0</v>
      </c>
      <c r="Y151" s="19" t="n">
        <v>0</v>
      </c>
      <c r="Z151" s="19" t="n">
        <v>0</v>
      </c>
      <c r="AA151" s="19" t="n">
        <v>0</v>
      </c>
      <c r="AB151" s="19" t="n">
        <v>0</v>
      </c>
      <c r="AC151" s="19" t="n">
        <v>0</v>
      </c>
      <c r="AD151" s="19" t="n">
        <v>0</v>
      </c>
      <c r="AE151" s="19" t="n">
        <v>0</v>
      </c>
      <c r="AF151" s="19" t="n">
        <v>0.08</v>
      </c>
      <c r="AG151" s="19" t="n">
        <v>0.17</v>
      </c>
      <c r="AH151" s="19" t="n">
        <v>0.08</v>
      </c>
      <c r="AI151" s="19" t="n">
        <v>0</v>
      </c>
      <c r="AJ151" s="19" t="n">
        <v>0</v>
      </c>
      <c r="AK151" s="19" t="n">
        <v>0</v>
      </c>
      <c r="AL151" s="19" t="n">
        <v>0</v>
      </c>
      <c r="AM151" s="19" t="n">
        <v>0</v>
      </c>
      <c r="AN151" s="19" t="n">
        <v>0</v>
      </c>
      <c r="AO151" s="19" t="n">
        <v>0</v>
      </c>
      <c r="AP151" s="19" t="n">
        <v>0</v>
      </c>
      <c r="AQ151" s="19" t="n">
        <v>0</v>
      </c>
      <c r="AR151" s="19" t="n">
        <v>0</v>
      </c>
      <c r="AS151" s="19" t="n">
        <v>0</v>
      </c>
      <c r="AT151" s="19" t="n">
        <v>0</v>
      </c>
      <c r="AU151" s="19" t="n">
        <v>0</v>
      </c>
      <c r="AV151" s="19" t="n">
        <v>0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20" t="n">
        <f aca="false">SUM(D151:BC151)</f>
        <v>0.56</v>
      </c>
    </row>
    <row r="152" customFormat="false" ht="15" hidden="false" customHeight="false" outlineLevel="0" collapsed="false">
      <c r="A152" s="5" t="s">
        <v>328</v>
      </c>
      <c r="B152" s="5" t="s">
        <v>64</v>
      </c>
      <c r="C152" s="5" t="s">
        <v>179</v>
      </c>
      <c r="D152" s="19" t="n">
        <v>0</v>
      </c>
      <c r="E152" s="19" t="n">
        <v>0</v>
      </c>
      <c r="F152" s="19" t="n">
        <v>0</v>
      </c>
      <c r="G152" s="19" t="n">
        <v>0</v>
      </c>
      <c r="H152" s="19" t="n">
        <v>0</v>
      </c>
      <c r="I152" s="19" t="n">
        <v>0</v>
      </c>
      <c r="J152" s="19" t="n">
        <v>0</v>
      </c>
      <c r="K152" s="19" t="n">
        <v>0</v>
      </c>
      <c r="L152" s="19" t="n">
        <v>0</v>
      </c>
      <c r="M152" s="19" t="n">
        <v>0</v>
      </c>
      <c r="N152" s="19" t="n">
        <v>0</v>
      </c>
      <c r="O152" s="19" t="n">
        <v>0</v>
      </c>
      <c r="P152" s="19" t="n">
        <v>0</v>
      </c>
      <c r="Q152" s="19" t="n">
        <v>0</v>
      </c>
      <c r="R152" s="19" t="n">
        <v>0</v>
      </c>
      <c r="S152" s="19" t="n">
        <v>0</v>
      </c>
      <c r="T152" s="19" t="n">
        <v>0</v>
      </c>
      <c r="U152" s="19" t="n">
        <v>0.08</v>
      </c>
      <c r="V152" s="19" t="n">
        <v>0.25</v>
      </c>
      <c r="W152" s="19" t="n">
        <v>0.26</v>
      </c>
      <c r="X152" s="19" t="n">
        <v>0.09</v>
      </c>
      <c r="Y152" s="19" t="n">
        <v>0</v>
      </c>
      <c r="Z152" s="19" t="n">
        <v>0</v>
      </c>
      <c r="AA152" s="19" t="n">
        <v>0</v>
      </c>
      <c r="AB152" s="19" t="n">
        <v>0.08</v>
      </c>
      <c r="AC152" s="19" t="n">
        <v>0.16</v>
      </c>
      <c r="AD152" s="19" t="n">
        <v>0.08</v>
      </c>
      <c r="AE152" s="19" t="n">
        <v>0</v>
      </c>
      <c r="AF152" s="19" t="n">
        <v>0</v>
      </c>
      <c r="AG152" s="19" t="n">
        <v>0</v>
      </c>
      <c r="AH152" s="19" t="n">
        <v>0</v>
      </c>
      <c r="AI152" s="19" t="n">
        <v>0</v>
      </c>
      <c r="AJ152" s="19" t="n">
        <v>0</v>
      </c>
      <c r="AK152" s="19" t="n">
        <v>0</v>
      </c>
      <c r="AL152" s="19" t="n">
        <v>0</v>
      </c>
      <c r="AM152" s="19" t="n">
        <v>0</v>
      </c>
      <c r="AN152" s="19" t="n">
        <v>0</v>
      </c>
      <c r="AO152" s="19" t="n">
        <v>0</v>
      </c>
      <c r="AP152" s="19" t="n">
        <v>0</v>
      </c>
      <c r="AQ152" s="19" t="n">
        <v>0</v>
      </c>
      <c r="AR152" s="19" t="n">
        <v>0</v>
      </c>
      <c r="AS152" s="19" t="n">
        <v>0</v>
      </c>
      <c r="AT152" s="19" t="n">
        <v>0</v>
      </c>
      <c r="AU152" s="19" t="n">
        <v>0</v>
      </c>
      <c r="AV152" s="19" t="n">
        <v>0</v>
      </c>
      <c r="AW152" s="19" t="n">
        <v>0</v>
      </c>
      <c r="AX152" s="19" t="n">
        <v>0</v>
      </c>
      <c r="AY152" s="19" t="n">
        <v>0</v>
      </c>
      <c r="AZ152" s="19" t="n">
        <v>0</v>
      </c>
      <c r="BA152" s="19" t="n">
        <v>0</v>
      </c>
      <c r="BB152" s="19" t="n">
        <v>0</v>
      </c>
      <c r="BC152" s="19" t="n">
        <v>0</v>
      </c>
      <c r="BD152" s="20" t="n">
        <f aca="false">SUM(D152:BC152)</f>
        <v>1</v>
      </c>
    </row>
    <row r="153" customFormat="false" ht="15" hidden="false" customHeight="false" outlineLevel="0" collapsed="false">
      <c r="A153" s="5" t="s">
        <v>329</v>
      </c>
      <c r="B153" s="5" t="s">
        <v>69</v>
      </c>
      <c r="C153" s="5" t="s">
        <v>179</v>
      </c>
      <c r="D153" s="19" t="n">
        <v>0</v>
      </c>
      <c r="E153" s="19" t="n">
        <v>0</v>
      </c>
      <c r="F153" s="19" t="n">
        <v>0</v>
      </c>
      <c r="G153" s="19" t="n">
        <v>0</v>
      </c>
      <c r="H153" s="19" t="n">
        <v>0</v>
      </c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0</v>
      </c>
      <c r="O153" s="19" t="n">
        <v>0</v>
      </c>
      <c r="P153" s="19" t="n">
        <v>0</v>
      </c>
      <c r="Q153" s="19" t="n">
        <v>0</v>
      </c>
      <c r="R153" s="19" t="n">
        <v>0</v>
      </c>
      <c r="S153" s="19" t="n">
        <v>0</v>
      </c>
      <c r="T153" s="19" t="n">
        <v>0</v>
      </c>
      <c r="U153" s="19" t="n">
        <v>0</v>
      </c>
      <c r="V153" s="19" t="n">
        <v>0</v>
      </c>
      <c r="W153" s="19" t="n">
        <v>0</v>
      </c>
      <c r="X153" s="19" t="n">
        <v>0</v>
      </c>
      <c r="Y153" s="19" t="n">
        <v>0</v>
      </c>
      <c r="Z153" s="19" t="n">
        <v>0</v>
      </c>
      <c r="AA153" s="19" t="n">
        <v>0</v>
      </c>
      <c r="AB153" s="19" t="n">
        <v>0</v>
      </c>
      <c r="AC153" s="19" t="n">
        <v>0</v>
      </c>
      <c r="AD153" s="19" t="n">
        <v>0</v>
      </c>
      <c r="AE153" s="19" t="n">
        <v>0</v>
      </c>
      <c r="AF153" s="19" t="n">
        <v>0</v>
      </c>
      <c r="AG153" s="19" t="n">
        <v>0.08</v>
      </c>
      <c r="AH153" s="19" t="n">
        <v>0.17</v>
      </c>
      <c r="AI153" s="19" t="n">
        <v>0.08</v>
      </c>
      <c r="AJ153" s="19" t="n">
        <v>0</v>
      </c>
      <c r="AK153" s="19" t="n">
        <v>0</v>
      </c>
      <c r="AL153" s="19" t="n">
        <v>0</v>
      </c>
      <c r="AM153" s="19" t="n">
        <v>0</v>
      </c>
      <c r="AN153" s="19" t="n">
        <v>0</v>
      </c>
      <c r="AO153" s="19" t="n">
        <v>0</v>
      </c>
      <c r="AP153" s="19" t="n">
        <v>0</v>
      </c>
      <c r="AQ153" s="19" t="n">
        <v>0</v>
      </c>
      <c r="AR153" s="19" t="n">
        <v>0</v>
      </c>
      <c r="AS153" s="19" t="n">
        <v>0</v>
      </c>
      <c r="AT153" s="19" t="n">
        <v>0</v>
      </c>
      <c r="AU153" s="19" t="n">
        <v>0</v>
      </c>
      <c r="AV153" s="19" t="n">
        <v>0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20" t="n">
        <f aca="false">SUM(D153:BC153)</f>
        <v>0.33</v>
      </c>
    </row>
    <row r="154" customFormat="false" ht="15" hidden="false" customHeight="false" outlineLevel="0" collapsed="false">
      <c r="A154" s="5" t="s">
        <v>330</v>
      </c>
      <c r="B154" s="5" t="s">
        <v>63</v>
      </c>
      <c r="C154" s="5" t="s">
        <v>179</v>
      </c>
      <c r="D154" s="19" t="n">
        <v>0</v>
      </c>
      <c r="E154" s="19" t="n">
        <v>0</v>
      </c>
      <c r="F154" s="19" t="n">
        <v>0</v>
      </c>
      <c r="G154" s="19" t="n">
        <v>0</v>
      </c>
      <c r="H154" s="19" t="n">
        <v>0</v>
      </c>
      <c r="I154" s="19" t="n">
        <v>0</v>
      </c>
      <c r="J154" s="19" t="n">
        <v>0</v>
      </c>
      <c r="K154" s="19" t="n">
        <v>0</v>
      </c>
      <c r="L154" s="19" t="n">
        <v>0</v>
      </c>
      <c r="M154" s="19" t="n">
        <v>0</v>
      </c>
      <c r="N154" s="19" t="n">
        <v>0</v>
      </c>
      <c r="O154" s="19" t="n">
        <v>0</v>
      </c>
      <c r="P154" s="19" t="n">
        <v>0</v>
      </c>
      <c r="Q154" s="19" t="n">
        <v>0</v>
      </c>
      <c r="R154" s="19" t="n">
        <v>0</v>
      </c>
      <c r="S154" s="19" t="n">
        <v>0</v>
      </c>
      <c r="T154" s="19" t="n">
        <v>0</v>
      </c>
      <c r="U154" s="19" t="n">
        <v>0</v>
      </c>
      <c r="V154" s="19" t="n">
        <v>0</v>
      </c>
      <c r="W154" s="19" t="n">
        <v>0</v>
      </c>
      <c r="X154" s="19" t="n">
        <v>0</v>
      </c>
      <c r="Y154" s="19" t="n">
        <v>0</v>
      </c>
      <c r="Z154" s="19" t="n">
        <v>0</v>
      </c>
      <c r="AA154" s="19" t="n">
        <v>0</v>
      </c>
      <c r="AB154" s="19" t="n">
        <v>0</v>
      </c>
      <c r="AC154" s="19" t="n">
        <v>0</v>
      </c>
      <c r="AD154" s="19" t="n">
        <v>0</v>
      </c>
      <c r="AE154" s="19" t="n">
        <v>0</v>
      </c>
      <c r="AF154" s="19" t="n">
        <v>0</v>
      </c>
      <c r="AG154" s="19" t="n">
        <v>0</v>
      </c>
      <c r="AH154" s="19" t="n">
        <v>0.08</v>
      </c>
      <c r="AI154" s="19" t="n">
        <v>0.17</v>
      </c>
      <c r="AJ154" s="19" t="n">
        <v>0.08</v>
      </c>
      <c r="AK154" s="19" t="n">
        <v>0</v>
      </c>
      <c r="AL154" s="19" t="n">
        <v>0</v>
      </c>
      <c r="AM154" s="19" t="n">
        <v>0</v>
      </c>
      <c r="AN154" s="19" t="n">
        <v>0</v>
      </c>
      <c r="AO154" s="19" t="n">
        <v>0</v>
      </c>
      <c r="AP154" s="19" t="n">
        <v>0</v>
      </c>
      <c r="AQ154" s="19" t="n">
        <v>0</v>
      </c>
      <c r="AR154" s="19" t="n">
        <v>0</v>
      </c>
      <c r="AS154" s="19" t="n">
        <v>0</v>
      </c>
      <c r="AT154" s="19" t="n">
        <v>0</v>
      </c>
      <c r="AU154" s="19" t="n">
        <v>0</v>
      </c>
      <c r="AV154" s="19" t="n">
        <v>0</v>
      </c>
      <c r="AW154" s="19" t="n">
        <v>0</v>
      </c>
      <c r="AX154" s="19" t="n">
        <v>0</v>
      </c>
      <c r="AY154" s="19" t="n">
        <v>0</v>
      </c>
      <c r="AZ154" s="19" t="n">
        <v>0</v>
      </c>
      <c r="BA154" s="19" t="n">
        <v>0</v>
      </c>
      <c r="BB154" s="19" t="n">
        <v>0</v>
      </c>
      <c r="BC154" s="19" t="n">
        <v>0</v>
      </c>
      <c r="BD154" s="20" t="n">
        <f aca="false">SUM(D154:BC154)</f>
        <v>0.33</v>
      </c>
    </row>
    <row r="155" customFormat="false" ht="15" hidden="false" customHeight="false" outlineLevel="0" collapsed="false">
      <c r="A155" s="5" t="s">
        <v>331</v>
      </c>
      <c r="B155" s="5" t="s">
        <v>57</v>
      </c>
      <c r="C155" s="5" t="s">
        <v>179</v>
      </c>
      <c r="D155" s="19" t="n">
        <v>0</v>
      </c>
      <c r="E155" s="19" t="n">
        <v>0</v>
      </c>
      <c r="F155" s="19" t="n">
        <v>0</v>
      </c>
      <c r="G155" s="19" t="n">
        <v>0</v>
      </c>
      <c r="H155" s="19" t="n">
        <v>0</v>
      </c>
      <c r="I155" s="19" t="n">
        <v>0</v>
      </c>
      <c r="J155" s="19" t="n">
        <v>0</v>
      </c>
      <c r="K155" s="19" t="n">
        <v>0</v>
      </c>
      <c r="L155" s="19" t="n">
        <v>0</v>
      </c>
      <c r="M155" s="19" t="n">
        <v>0</v>
      </c>
      <c r="N155" s="19" t="n">
        <v>0</v>
      </c>
      <c r="O155" s="19" t="n">
        <v>0</v>
      </c>
      <c r="P155" s="19" t="n">
        <v>0</v>
      </c>
      <c r="Q155" s="19" t="n">
        <v>0</v>
      </c>
      <c r="R155" s="19" t="n">
        <v>0</v>
      </c>
      <c r="S155" s="19" t="n">
        <v>0</v>
      </c>
      <c r="T155" s="19" t="n">
        <v>0</v>
      </c>
      <c r="U155" s="19" t="n">
        <v>0</v>
      </c>
      <c r="V155" s="19" t="n">
        <v>0</v>
      </c>
      <c r="W155" s="19" t="n">
        <v>0</v>
      </c>
      <c r="X155" s="19" t="n">
        <v>0</v>
      </c>
      <c r="Y155" s="19" t="n">
        <v>0</v>
      </c>
      <c r="Z155" s="19" t="n">
        <v>0</v>
      </c>
      <c r="AA155" s="19" t="n">
        <v>0</v>
      </c>
      <c r="AB155" s="19" t="n">
        <v>0</v>
      </c>
      <c r="AC155" s="19" t="n">
        <v>0.09</v>
      </c>
      <c r="AD155" s="19" t="n">
        <v>0.18</v>
      </c>
      <c r="AE155" s="19" t="n">
        <v>0.09</v>
      </c>
      <c r="AF155" s="19" t="n">
        <v>0</v>
      </c>
      <c r="AG155" s="19" t="n">
        <v>0</v>
      </c>
      <c r="AH155" s="19" t="n">
        <v>0</v>
      </c>
      <c r="AI155" s="19" t="n">
        <v>0</v>
      </c>
      <c r="AJ155" s="19" t="n">
        <v>0</v>
      </c>
      <c r="AK155" s="19" t="n">
        <v>0</v>
      </c>
      <c r="AL155" s="19" t="n">
        <v>0</v>
      </c>
      <c r="AM155" s="19" t="n">
        <v>0</v>
      </c>
      <c r="AN155" s="19" t="n">
        <v>0</v>
      </c>
      <c r="AO155" s="19" t="n">
        <v>0</v>
      </c>
      <c r="AP155" s="19" t="n">
        <v>0</v>
      </c>
      <c r="AQ155" s="19" t="n">
        <v>0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0</v>
      </c>
      <c r="AW155" s="19" t="n">
        <v>0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20" t="n">
        <f aca="false">SUM(D155:BC155)</f>
        <v>0.36</v>
      </c>
    </row>
    <row r="156" customFormat="false" ht="15" hidden="false" customHeight="false" outlineLevel="0" collapsed="false">
      <c r="A156" s="5" t="s">
        <v>332</v>
      </c>
      <c r="B156" s="5" t="s">
        <v>57</v>
      </c>
      <c r="C156" s="5" t="s">
        <v>179</v>
      </c>
      <c r="D156" s="19" t="n">
        <v>0</v>
      </c>
      <c r="E156" s="19" t="n">
        <v>0</v>
      </c>
      <c r="F156" s="19" t="n">
        <v>0</v>
      </c>
      <c r="G156" s="19" t="n">
        <v>0</v>
      </c>
      <c r="H156" s="19" t="n">
        <v>0</v>
      </c>
      <c r="I156" s="19" t="n">
        <v>0</v>
      </c>
      <c r="J156" s="19" t="n">
        <v>0</v>
      </c>
      <c r="K156" s="19" t="n">
        <v>0</v>
      </c>
      <c r="L156" s="19" t="n">
        <v>0</v>
      </c>
      <c r="M156" s="19" t="n">
        <v>0</v>
      </c>
      <c r="N156" s="19" t="n">
        <v>0</v>
      </c>
      <c r="O156" s="19" t="n">
        <v>0</v>
      </c>
      <c r="P156" s="19" t="n">
        <v>0.09</v>
      </c>
      <c r="Q156" s="19" t="n">
        <v>0.18</v>
      </c>
      <c r="R156" s="19" t="n">
        <v>0.09</v>
      </c>
      <c r="S156" s="19" t="n">
        <v>0</v>
      </c>
      <c r="T156" s="19" t="n">
        <v>0</v>
      </c>
      <c r="U156" s="19" t="n">
        <v>0</v>
      </c>
      <c r="V156" s="19" t="n">
        <v>0</v>
      </c>
      <c r="W156" s="19" t="n">
        <v>0</v>
      </c>
      <c r="X156" s="19" t="n">
        <v>0</v>
      </c>
      <c r="Y156" s="19" t="n">
        <v>0</v>
      </c>
      <c r="Z156" s="19" t="n">
        <v>0</v>
      </c>
      <c r="AA156" s="19" t="n">
        <v>0</v>
      </c>
      <c r="AB156" s="19" t="n">
        <v>0</v>
      </c>
      <c r="AC156" s="19" t="n">
        <v>0</v>
      </c>
      <c r="AD156" s="19" t="n">
        <v>0</v>
      </c>
      <c r="AE156" s="19" t="n">
        <v>0</v>
      </c>
      <c r="AF156" s="19" t="n">
        <v>0</v>
      </c>
      <c r="AG156" s="19" t="n">
        <v>0</v>
      </c>
      <c r="AH156" s="19" t="n">
        <v>0</v>
      </c>
      <c r="AI156" s="19" t="n">
        <v>0</v>
      </c>
      <c r="AJ156" s="19" t="n">
        <v>0</v>
      </c>
      <c r="AK156" s="19" t="n">
        <v>0</v>
      </c>
      <c r="AL156" s="19" t="n">
        <v>0</v>
      </c>
      <c r="AM156" s="19" t="n">
        <v>0</v>
      </c>
      <c r="AN156" s="19" t="n">
        <v>0</v>
      </c>
      <c r="AO156" s="19" t="n">
        <v>0</v>
      </c>
      <c r="AP156" s="19" t="n">
        <v>0</v>
      </c>
      <c r="AQ156" s="19" t="n">
        <v>0</v>
      </c>
      <c r="AR156" s="19" t="n">
        <v>0</v>
      </c>
      <c r="AS156" s="19" t="n">
        <v>0</v>
      </c>
      <c r="AT156" s="19" t="n">
        <v>0</v>
      </c>
      <c r="AU156" s="19" t="n">
        <v>0</v>
      </c>
      <c r="AV156" s="19" t="n">
        <v>0</v>
      </c>
      <c r="AW156" s="19" t="n">
        <v>0</v>
      </c>
      <c r="AX156" s="19" t="n">
        <v>0</v>
      </c>
      <c r="AY156" s="19" t="n">
        <v>0</v>
      </c>
      <c r="AZ156" s="19" t="n">
        <v>0</v>
      </c>
      <c r="BA156" s="19" t="n">
        <v>0</v>
      </c>
      <c r="BB156" s="19" t="n">
        <v>0</v>
      </c>
      <c r="BC156" s="19" t="n">
        <v>0</v>
      </c>
      <c r="BD156" s="20" t="n">
        <f aca="false">SUM(D156:BC156)</f>
        <v>0.36</v>
      </c>
    </row>
    <row r="157" customFormat="false" ht="15" hidden="false" customHeight="false" outlineLevel="0" collapsed="false">
      <c r="A157" s="5" t="s">
        <v>333</v>
      </c>
      <c r="B157" s="5" t="s">
        <v>69</v>
      </c>
      <c r="C157" s="5" t="s">
        <v>179</v>
      </c>
      <c r="D157" s="19" t="n">
        <v>0</v>
      </c>
      <c r="E157" s="19" t="n">
        <v>0</v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0.09</v>
      </c>
      <c r="AC157" s="19" t="n">
        <v>0.18</v>
      </c>
      <c r="AD157" s="19" t="n">
        <v>0.09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20" t="n">
        <f aca="false">SUM(D157:BC157)</f>
        <v>0.36</v>
      </c>
    </row>
    <row r="158" customFormat="false" ht="15" hidden="false" customHeight="false" outlineLevel="0" collapsed="false">
      <c r="A158" s="5" t="s">
        <v>334</v>
      </c>
      <c r="B158" s="5" t="s">
        <v>64</v>
      </c>
      <c r="C158" s="5" t="s">
        <v>179</v>
      </c>
      <c r="D158" s="19" t="n">
        <v>0</v>
      </c>
      <c r="E158" s="19" t="n">
        <v>0</v>
      </c>
      <c r="F158" s="19" t="n">
        <v>0</v>
      </c>
      <c r="G158" s="19" t="n">
        <v>0</v>
      </c>
      <c r="H158" s="19" t="n">
        <v>0</v>
      </c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0.09</v>
      </c>
      <c r="N158" s="19" t="n">
        <v>0.18</v>
      </c>
      <c r="O158" s="19" t="n">
        <v>0.09</v>
      </c>
      <c r="P158" s="19" t="n">
        <v>0</v>
      </c>
      <c r="Q158" s="19" t="n">
        <v>0</v>
      </c>
      <c r="R158" s="19" t="n">
        <v>0</v>
      </c>
      <c r="S158" s="19" t="n">
        <v>0</v>
      </c>
      <c r="T158" s="19" t="n">
        <v>0</v>
      </c>
      <c r="U158" s="19" t="n">
        <v>0</v>
      </c>
      <c r="V158" s="19" t="n">
        <v>0.06</v>
      </c>
      <c r="W158" s="19" t="n">
        <v>0.11</v>
      </c>
      <c r="X158" s="19" t="n">
        <v>0.23</v>
      </c>
      <c r="Y158" s="19" t="n">
        <v>0.34</v>
      </c>
      <c r="Z158" s="19" t="n">
        <v>0.33</v>
      </c>
      <c r="AA158" s="19" t="n">
        <v>0.32</v>
      </c>
      <c r="AB158" s="19" t="n">
        <v>0.38</v>
      </c>
      <c r="AC158" s="19" t="n">
        <v>0.45</v>
      </c>
      <c r="AD158" s="19" t="n">
        <v>0.23</v>
      </c>
      <c r="AE158" s="19" t="n">
        <v>0</v>
      </c>
      <c r="AF158" s="19" t="n">
        <v>0</v>
      </c>
      <c r="AG158" s="19" t="n">
        <v>0</v>
      </c>
      <c r="AH158" s="19" t="n">
        <v>0</v>
      </c>
      <c r="AI158" s="19" t="n">
        <v>0</v>
      </c>
      <c r="AJ158" s="19" t="n">
        <v>0</v>
      </c>
      <c r="AK158" s="19" t="n">
        <v>0</v>
      </c>
      <c r="AL158" s="19" t="n">
        <v>0</v>
      </c>
      <c r="AM158" s="19" t="n">
        <v>0</v>
      </c>
      <c r="AN158" s="19" t="n">
        <v>0</v>
      </c>
      <c r="AO158" s="19" t="n">
        <v>0</v>
      </c>
      <c r="AP158" s="19" t="n">
        <v>0</v>
      </c>
      <c r="AQ158" s="19" t="n">
        <v>0</v>
      </c>
      <c r="AR158" s="19" t="n">
        <v>0</v>
      </c>
      <c r="AS158" s="19" t="n">
        <v>0</v>
      </c>
      <c r="AT158" s="19" t="n">
        <v>0</v>
      </c>
      <c r="AU158" s="19" t="n">
        <v>0</v>
      </c>
      <c r="AV158" s="19" t="n">
        <v>0</v>
      </c>
      <c r="AW158" s="19" t="n">
        <v>0</v>
      </c>
      <c r="AX158" s="19" t="n">
        <v>0</v>
      </c>
      <c r="AY158" s="19" t="n">
        <v>0</v>
      </c>
      <c r="AZ158" s="19" t="n">
        <v>0</v>
      </c>
      <c r="BA158" s="19" t="n">
        <v>0</v>
      </c>
      <c r="BB158" s="19" t="n">
        <v>0</v>
      </c>
      <c r="BC158" s="19" t="n">
        <v>0</v>
      </c>
      <c r="BD158" s="20" t="n">
        <f aca="false">SUM(D158:BC158)</f>
        <v>2.81</v>
      </c>
    </row>
    <row r="159" customFormat="false" ht="15" hidden="false" customHeight="false" outlineLevel="0" collapsed="false">
      <c r="A159" s="5" t="s">
        <v>335</v>
      </c>
      <c r="B159" s="5" t="s">
        <v>45</v>
      </c>
      <c r="C159" s="5" t="s">
        <v>179</v>
      </c>
      <c r="D159" s="19" t="n">
        <v>0</v>
      </c>
      <c r="E159" s="19" t="n">
        <v>0</v>
      </c>
      <c r="F159" s="19" t="n">
        <v>0</v>
      </c>
      <c r="G159" s="19" t="n">
        <v>0</v>
      </c>
      <c r="H159" s="19" t="n">
        <v>0</v>
      </c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0</v>
      </c>
      <c r="O159" s="19" t="n">
        <v>0</v>
      </c>
      <c r="P159" s="19" t="n">
        <v>0</v>
      </c>
      <c r="Q159" s="19" t="n">
        <v>0</v>
      </c>
      <c r="R159" s="19" t="n">
        <v>0</v>
      </c>
      <c r="S159" s="19" t="n">
        <v>0</v>
      </c>
      <c r="T159" s="19" t="n">
        <v>0</v>
      </c>
      <c r="U159" s="19" t="n">
        <v>0</v>
      </c>
      <c r="V159" s="19" t="n">
        <v>0.06</v>
      </c>
      <c r="W159" s="19" t="n">
        <v>0.11</v>
      </c>
      <c r="X159" s="19" t="n">
        <v>0.06</v>
      </c>
      <c r="Y159" s="19" t="n">
        <v>0</v>
      </c>
      <c r="Z159" s="19" t="n">
        <v>0</v>
      </c>
      <c r="AA159" s="19" t="n">
        <v>0</v>
      </c>
      <c r="AB159" s="19" t="n">
        <v>0</v>
      </c>
      <c r="AC159" s="19" t="n">
        <v>0</v>
      </c>
      <c r="AD159" s="19" t="n">
        <v>0</v>
      </c>
      <c r="AE159" s="19" t="n">
        <v>0</v>
      </c>
      <c r="AF159" s="19" t="n">
        <v>0</v>
      </c>
      <c r="AG159" s="19" t="n">
        <v>0</v>
      </c>
      <c r="AH159" s="19" t="n">
        <v>0</v>
      </c>
      <c r="AI159" s="19" t="n">
        <v>0</v>
      </c>
      <c r="AJ159" s="19" t="n">
        <v>0</v>
      </c>
      <c r="AK159" s="19" t="n">
        <v>0</v>
      </c>
      <c r="AL159" s="19" t="n">
        <v>0</v>
      </c>
      <c r="AM159" s="19" t="n">
        <v>0</v>
      </c>
      <c r="AN159" s="19" t="n">
        <v>0</v>
      </c>
      <c r="AO159" s="19" t="n">
        <v>0</v>
      </c>
      <c r="AP159" s="19" t="n">
        <v>0</v>
      </c>
      <c r="AQ159" s="19" t="n">
        <v>0</v>
      </c>
      <c r="AR159" s="19" t="n">
        <v>0</v>
      </c>
      <c r="AS159" s="19" t="n">
        <v>0.08</v>
      </c>
      <c r="AT159" s="19" t="n">
        <v>0.17</v>
      </c>
      <c r="AU159" s="19" t="n">
        <v>0.08</v>
      </c>
      <c r="AV159" s="19" t="n">
        <v>0</v>
      </c>
      <c r="AW159" s="19" t="n">
        <v>0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20" t="n">
        <f aca="false">SUM(D159:BC159)</f>
        <v>0.56</v>
      </c>
    </row>
    <row r="160" customFormat="false" ht="15" hidden="false" customHeight="false" outlineLevel="0" collapsed="false">
      <c r="A160" s="5" t="s">
        <v>336</v>
      </c>
      <c r="B160" s="5" t="s">
        <v>42</v>
      </c>
      <c r="C160" s="5" t="s">
        <v>179</v>
      </c>
      <c r="D160" s="19" t="n">
        <v>0</v>
      </c>
      <c r="E160" s="19" t="n">
        <v>0</v>
      </c>
      <c r="F160" s="19" t="n">
        <v>0</v>
      </c>
      <c r="G160" s="19" t="n">
        <v>0</v>
      </c>
      <c r="H160" s="19" t="n">
        <v>0</v>
      </c>
      <c r="I160" s="19" t="n">
        <v>0</v>
      </c>
      <c r="J160" s="19" t="n">
        <v>0</v>
      </c>
      <c r="K160" s="19" t="n">
        <v>0</v>
      </c>
      <c r="L160" s="19" t="n">
        <v>0</v>
      </c>
      <c r="M160" s="19" t="n">
        <v>0</v>
      </c>
      <c r="N160" s="19" t="n">
        <v>0</v>
      </c>
      <c r="O160" s="19" t="n">
        <v>0</v>
      </c>
      <c r="P160" s="19" t="n">
        <v>0</v>
      </c>
      <c r="Q160" s="19" t="n">
        <v>0</v>
      </c>
      <c r="R160" s="19" t="n">
        <v>0</v>
      </c>
      <c r="S160" s="19" t="n">
        <v>0</v>
      </c>
      <c r="T160" s="19" t="n">
        <v>0</v>
      </c>
      <c r="U160" s="19" t="n">
        <v>0</v>
      </c>
      <c r="V160" s="19" t="n">
        <v>0</v>
      </c>
      <c r="W160" s="19" t="n">
        <v>0</v>
      </c>
      <c r="X160" s="19" t="n">
        <v>0</v>
      </c>
      <c r="Y160" s="19" t="n">
        <v>0</v>
      </c>
      <c r="Z160" s="19" t="n">
        <v>0</v>
      </c>
      <c r="AA160" s="19" t="n">
        <v>0</v>
      </c>
      <c r="AB160" s="19" t="n">
        <v>0</v>
      </c>
      <c r="AC160" s="19" t="n">
        <v>0.08</v>
      </c>
      <c r="AD160" s="19" t="n">
        <v>0.16</v>
      </c>
      <c r="AE160" s="19" t="n">
        <v>0.08</v>
      </c>
      <c r="AF160" s="19" t="n">
        <v>0</v>
      </c>
      <c r="AG160" s="19" t="n">
        <v>0</v>
      </c>
      <c r="AH160" s="19" t="n">
        <v>0</v>
      </c>
      <c r="AI160" s="19" t="n">
        <v>0.12</v>
      </c>
      <c r="AJ160" s="19" t="n">
        <v>0.23</v>
      </c>
      <c r="AK160" s="19" t="n">
        <v>0.12</v>
      </c>
      <c r="AL160" s="19" t="n">
        <v>0</v>
      </c>
      <c r="AM160" s="19" t="n">
        <v>0</v>
      </c>
      <c r="AN160" s="19" t="n">
        <v>0</v>
      </c>
      <c r="AO160" s="19" t="n">
        <v>0</v>
      </c>
      <c r="AP160" s="19" t="n">
        <v>0</v>
      </c>
      <c r="AQ160" s="19" t="n">
        <v>0</v>
      </c>
      <c r="AR160" s="19" t="n">
        <v>0</v>
      </c>
      <c r="AS160" s="19" t="n">
        <v>0</v>
      </c>
      <c r="AT160" s="19" t="n">
        <v>0</v>
      </c>
      <c r="AU160" s="19" t="n">
        <v>0</v>
      </c>
      <c r="AV160" s="19" t="n">
        <v>0</v>
      </c>
      <c r="AW160" s="19" t="n">
        <v>0</v>
      </c>
      <c r="AX160" s="19" t="n">
        <v>0</v>
      </c>
      <c r="AY160" s="19" t="n">
        <v>0</v>
      </c>
      <c r="AZ160" s="19" t="n">
        <v>0</v>
      </c>
      <c r="BA160" s="19" t="n">
        <v>0</v>
      </c>
      <c r="BB160" s="19" t="n">
        <v>0</v>
      </c>
      <c r="BC160" s="19" t="n">
        <v>0</v>
      </c>
      <c r="BD160" s="20" t="n">
        <f aca="false">SUM(D160:BC160)</f>
        <v>0.79</v>
      </c>
    </row>
    <row r="161" customFormat="false" ht="15" hidden="false" customHeight="false" outlineLevel="0" collapsed="false">
      <c r="A161" s="5" t="s">
        <v>337</v>
      </c>
      <c r="B161" s="5" t="s">
        <v>64</v>
      </c>
      <c r="C161" s="5" t="s">
        <v>179</v>
      </c>
      <c r="D161" s="19" t="n">
        <v>0</v>
      </c>
      <c r="E161" s="19" t="n">
        <v>0</v>
      </c>
      <c r="F161" s="19" t="n">
        <v>0</v>
      </c>
      <c r="G161" s="19" t="n">
        <v>0.05</v>
      </c>
      <c r="H161" s="19" t="n">
        <v>0.09</v>
      </c>
      <c r="I161" s="19" t="n">
        <v>0.05</v>
      </c>
      <c r="J161" s="19" t="n">
        <v>0</v>
      </c>
      <c r="K161" s="19" t="n">
        <v>0</v>
      </c>
      <c r="L161" s="19" t="n">
        <v>0</v>
      </c>
      <c r="M161" s="19" t="n">
        <v>0</v>
      </c>
      <c r="N161" s="19" t="n">
        <v>0</v>
      </c>
      <c r="O161" s="19" t="n">
        <v>0</v>
      </c>
      <c r="P161" s="19" t="n">
        <v>0</v>
      </c>
      <c r="Q161" s="19" t="n">
        <v>0</v>
      </c>
      <c r="R161" s="19" t="n">
        <v>0</v>
      </c>
      <c r="S161" s="19" t="n">
        <v>0</v>
      </c>
      <c r="T161" s="19" t="n">
        <v>0</v>
      </c>
      <c r="U161" s="19" t="n">
        <v>0</v>
      </c>
      <c r="V161" s="19" t="n">
        <v>0</v>
      </c>
      <c r="W161" s="19" t="n">
        <v>0</v>
      </c>
      <c r="X161" s="19" t="n">
        <v>0</v>
      </c>
      <c r="Y161" s="19" t="n">
        <v>0</v>
      </c>
      <c r="Z161" s="19" t="n">
        <v>0.16</v>
      </c>
      <c r="AA161" s="19" t="n">
        <v>0.36</v>
      </c>
      <c r="AB161" s="19" t="n">
        <v>0.25</v>
      </c>
      <c r="AC161" s="19" t="n">
        <v>0.05</v>
      </c>
      <c r="AD161" s="19" t="n">
        <v>0</v>
      </c>
      <c r="AE161" s="19" t="n">
        <v>0</v>
      </c>
      <c r="AF161" s="19" t="n">
        <v>0</v>
      </c>
      <c r="AG161" s="19" t="n">
        <v>0</v>
      </c>
      <c r="AH161" s="19" t="n">
        <v>0</v>
      </c>
      <c r="AI161" s="19" t="n">
        <v>0</v>
      </c>
      <c r="AJ161" s="19" t="n">
        <v>0</v>
      </c>
      <c r="AK161" s="19" t="n">
        <v>0</v>
      </c>
      <c r="AL161" s="19" t="n">
        <v>0</v>
      </c>
      <c r="AM161" s="19" t="n">
        <v>0</v>
      </c>
      <c r="AN161" s="19" t="n">
        <v>0</v>
      </c>
      <c r="AO161" s="19" t="n">
        <v>0</v>
      </c>
      <c r="AP161" s="19" t="n">
        <v>0</v>
      </c>
      <c r="AQ161" s="19" t="n">
        <v>0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0</v>
      </c>
      <c r="AW161" s="19" t="n">
        <v>0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20" t="n">
        <f aca="false">SUM(D161:BC161)</f>
        <v>1.01</v>
      </c>
    </row>
    <row r="162" customFormat="false" ht="15" hidden="false" customHeight="false" outlineLevel="0" collapsed="false">
      <c r="A162" s="5" t="s">
        <v>338</v>
      </c>
      <c r="B162" s="5" t="s">
        <v>57</v>
      </c>
      <c r="C162" s="5" t="s">
        <v>179</v>
      </c>
      <c r="D162" s="19" t="n">
        <v>0</v>
      </c>
      <c r="E162" s="19" t="n">
        <v>0</v>
      </c>
      <c r="F162" s="19" t="n">
        <v>0</v>
      </c>
      <c r="G162" s="19" t="n">
        <v>0</v>
      </c>
      <c r="H162" s="19" t="n">
        <v>0</v>
      </c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0</v>
      </c>
      <c r="O162" s="19" t="n">
        <v>0</v>
      </c>
      <c r="P162" s="19" t="n">
        <v>0</v>
      </c>
      <c r="Q162" s="19" t="n">
        <v>0</v>
      </c>
      <c r="R162" s="19" t="n">
        <v>0</v>
      </c>
      <c r="S162" s="19" t="n">
        <v>0</v>
      </c>
      <c r="T162" s="19" t="n">
        <v>0</v>
      </c>
      <c r="U162" s="19" t="n">
        <v>0</v>
      </c>
      <c r="V162" s="19" t="n">
        <v>0</v>
      </c>
      <c r="W162" s="19" t="n">
        <v>0</v>
      </c>
      <c r="X162" s="19" t="n">
        <v>0.18</v>
      </c>
      <c r="Y162" s="19" t="n">
        <v>0.36</v>
      </c>
      <c r="Z162" s="19" t="n">
        <v>0.18</v>
      </c>
      <c r="AA162" s="19" t="n">
        <v>0</v>
      </c>
      <c r="AB162" s="19" t="n">
        <v>0</v>
      </c>
      <c r="AC162" s="19" t="n">
        <v>0</v>
      </c>
      <c r="AD162" s="19" t="n">
        <v>0</v>
      </c>
      <c r="AE162" s="19" t="n">
        <v>0</v>
      </c>
      <c r="AF162" s="19" t="n">
        <v>0</v>
      </c>
      <c r="AG162" s="19" t="n">
        <v>0</v>
      </c>
      <c r="AH162" s="19" t="n">
        <v>0</v>
      </c>
      <c r="AI162" s="19" t="n">
        <v>0</v>
      </c>
      <c r="AJ162" s="19" t="n">
        <v>0</v>
      </c>
      <c r="AK162" s="19" t="n">
        <v>0</v>
      </c>
      <c r="AL162" s="19" t="n">
        <v>0</v>
      </c>
      <c r="AM162" s="19" t="n">
        <v>0</v>
      </c>
      <c r="AN162" s="19" t="n">
        <v>0</v>
      </c>
      <c r="AO162" s="19" t="n">
        <v>0</v>
      </c>
      <c r="AP162" s="19" t="n">
        <v>0</v>
      </c>
      <c r="AQ162" s="19" t="n">
        <v>0</v>
      </c>
      <c r="AR162" s="19" t="n">
        <v>0</v>
      </c>
      <c r="AS162" s="19" t="n">
        <v>0</v>
      </c>
      <c r="AT162" s="19" t="n">
        <v>0</v>
      </c>
      <c r="AU162" s="19" t="n">
        <v>0</v>
      </c>
      <c r="AV162" s="19" t="n">
        <v>0</v>
      </c>
      <c r="AW162" s="19" t="n">
        <v>0</v>
      </c>
      <c r="AX162" s="19" t="n">
        <v>0</v>
      </c>
      <c r="AY162" s="19" t="n">
        <v>0</v>
      </c>
      <c r="AZ162" s="19" t="n">
        <v>0</v>
      </c>
      <c r="BA162" s="19" t="n">
        <v>0</v>
      </c>
      <c r="BB162" s="19" t="n">
        <v>0</v>
      </c>
      <c r="BC162" s="19" t="n">
        <v>0</v>
      </c>
      <c r="BD162" s="20" t="n">
        <f aca="false">SUM(D162:BC162)</f>
        <v>0.72</v>
      </c>
    </row>
    <row r="163" customFormat="false" ht="15" hidden="false" customHeight="false" outlineLevel="0" collapsed="false">
      <c r="A163" s="5" t="s">
        <v>339</v>
      </c>
      <c r="B163" s="5" t="s">
        <v>69</v>
      </c>
      <c r="C163" s="5" t="s">
        <v>179</v>
      </c>
      <c r="D163" s="19" t="n">
        <v>0</v>
      </c>
      <c r="E163" s="19" t="n">
        <v>0</v>
      </c>
      <c r="F163" s="19" t="n">
        <v>0</v>
      </c>
      <c r="G163" s="19" t="n">
        <v>0</v>
      </c>
      <c r="H163" s="19" t="n">
        <v>0</v>
      </c>
      <c r="I163" s="19" t="n">
        <v>0</v>
      </c>
      <c r="J163" s="19" t="n">
        <v>0</v>
      </c>
      <c r="K163" s="19" t="n">
        <v>0</v>
      </c>
      <c r="L163" s="19" t="n">
        <v>0</v>
      </c>
      <c r="M163" s="19" t="n">
        <v>0</v>
      </c>
      <c r="N163" s="19" t="n">
        <v>0</v>
      </c>
      <c r="O163" s="19" t="n">
        <v>0</v>
      </c>
      <c r="P163" s="19" t="n">
        <v>0</v>
      </c>
      <c r="Q163" s="19" t="n">
        <v>0</v>
      </c>
      <c r="R163" s="19" t="n">
        <v>0</v>
      </c>
      <c r="S163" s="19" t="n">
        <v>0</v>
      </c>
      <c r="T163" s="19" t="n">
        <v>0</v>
      </c>
      <c r="U163" s="19" t="n">
        <v>0</v>
      </c>
      <c r="V163" s="19" t="n">
        <v>0</v>
      </c>
      <c r="W163" s="19" t="n">
        <v>0</v>
      </c>
      <c r="X163" s="19" t="n">
        <v>0</v>
      </c>
      <c r="Y163" s="19" t="n">
        <v>0</v>
      </c>
      <c r="Z163" s="19" t="n">
        <v>0.18</v>
      </c>
      <c r="AA163" s="19" t="n">
        <v>0.36</v>
      </c>
      <c r="AB163" s="19" t="n">
        <v>0.18</v>
      </c>
      <c r="AC163" s="19" t="n">
        <v>0</v>
      </c>
      <c r="AD163" s="19" t="n">
        <v>0</v>
      </c>
      <c r="AE163" s="19" t="n">
        <v>0</v>
      </c>
      <c r="AF163" s="19" t="n">
        <v>0</v>
      </c>
      <c r="AG163" s="19" t="n">
        <v>0</v>
      </c>
      <c r="AH163" s="19" t="n">
        <v>0</v>
      </c>
      <c r="AI163" s="19" t="n">
        <v>0</v>
      </c>
      <c r="AJ163" s="19" t="n">
        <v>0</v>
      </c>
      <c r="AK163" s="19" t="n">
        <v>0</v>
      </c>
      <c r="AL163" s="19" t="n">
        <v>0</v>
      </c>
      <c r="AM163" s="19" t="n">
        <v>0</v>
      </c>
      <c r="AN163" s="19" t="n">
        <v>0</v>
      </c>
      <c r="AO163" s="19" t="n">
        <v>0</v>
      </c>
      <c r="AP163" s="19" t="n">
        <v>0</v>
      </c>
      <c r="AQ163" s="19" t="n">
        <v>0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0</v>
      </c>
      <c r="AW163" s="19" t="n">
        <v>0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20" t="n">
        <f aca="false">SUM(D163:BC163)</f>
        <v>0.72</v>
      </c>
    </row>
    <row r="164" customFormat="false" ht="15" hidden="false" customHeight="false" outlineLevel="0" collapsed="false">
      <c r="A164" s="5" t="s">
        <v>340</v>
      </c>
      <c r="B164" s="5" t="s">
        <v>69</v>
      </c>
      <c r="C164" s="5" t="s">
        <v>179</v>
      </c>
      <c r="D164" s="19" t="n">
        <v>0</v>
      </c>
      <c r="E164" s="19" t="n">
        <v>0</v>
      </c>
      <c r="F164" s="19" t="n">
        <v>0</v>
      </c>
      <c r="G164" s="19" t="n">
        <v>0</v>
      </c>
      <c r="H164" s="19" t="n">
        <v>0</v>
      </c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0</v>
      </c>
      <c r="O164" s="19" t="n">
        <v>0</v>
      </c>
      <c r="P164" s="19" t="n">
        <v>0</v>
      </c>
      <c r="Q164" s="19" t="n">
        <v>0</v>
      </c>
      <c r="R164" s="19" t="n">
        <v>0</v>
      </c>
      <c r="S164" s="19" t="n">
        <v>0</v>
      </c>
      <c r="T164" s="19" t="n">
        <v>0</v>
      </c>
      <c r="U164" s="19" t="n">
        <v>0.09</v>
      </c>
      <c r="V164" s="19" t="n">
        <v>0.18</v>
      </c>
      <c r="W164" s="19" t="n">
        <v>0.09</v>
      </c>
      <c r="X164" s="19" t="n">
        <v>0</v>
      </c>
      <c r="Y164" s="19" t="n">
        <v>0</v>
      </c>
      <c r="Z164" s="19" t="n">
        <v>0.09</v>
      </c>
      <c r="AA164" s="19" t="n">
        <v>0.18</v>
      </c>
      <c r="AB164" s="19" t="n">
        <v>0.09</v>
      </c>
      <c r="AC164" s="19" t="n">
        <v>0</v>
      </c>
      <c r="AD164" s="19" t="n">
        <v>0</v>
      </c>
      <c r="AE164" s="19" t="n">
        <v>0</v>
      </c>
      <c r="AF164" s="19" t="n">
        <v>0</v>
      </c>
      <c r="AG164" s="19" t="n">
        <v>0</v>
      </c>
      <c r="AH164" s="19" t="n">
        <v>0</v>
      </c>
      <c r="AI164" s="19" t="n">
        <v>0</v>
      </c>
      <c r="AJ164" s="19" t="n">
        <v>0</v>
      </c>
      <c r="AK164" s="19" t="n">
        <v>0</v>
      </c>
      <c r="AL164" s="19" t="n">
        <v>0</v>
      </c>
      <c r="AM164" s="19" t="n">
        <v>0</v>
      </c>
      <c r="AN164" s="19" t="n">
        <v>0</v>
      </c>
      <c r="AO164" s="19" t="n">
        <v>0</v>
      </c>
      <c r="AP164" s="19" t="n">
        <v>0</v>
      </c>
      <c r="AQ164" s="19" t="n">
        <v>0</v>
      </c>
      <c r="AR164" s="19" t="n">
        <v>0</v>
      </c>
      <c r="AS164" s="19" t="n">
        <v>0</v>
      </c>
      <c r="AT164" s="19" t="n">
        <v>0</v>
      </c>
      <c r="AU164" s="19" t="n">
        <v>0</v>
      </c>
      <c r="AV164" s="19" t="n">
        <v>0</v>
      </c>
      <c r="AW164" s="19" t="n">
        <v>0</v>
      </c>
      <c r="AX164" s="19" t="n">
        <v>0</v>
      </c>
      <c r="AY164" s="19" t="n">
        <v>0</v>
      </c>
      <c r="AZ164" s="19" t="n">
        <v>0</v>
      </c>
      <c r="BA164" s="19" t="n">
        <v>0</v>
      </c>
      <c r="BB164" s="19" t="n">
        <v>0</v>
      </c>
      <c r="BC164" s="19" t="n">
        <v>0</v>
      </c>
      <c r="BD164" s="20" t="n">
        <f aca="false">SUM(D164:BC164)</f>
        <v>0.72</v>
      </c>
    </row>
    <row r="165" customFormat="false" ht="15" hidden="false" customHeight="false" outlineLevel="0" collapsed="false">
      <c r="A165" s="5" t="s">
        <v>341</v>
      </c>
      <c r="B165" s="5" t="s">
        <v>62</v>
      </c>
      <c r="C165" s="5" t="s">
        <v>179</v>
      </c>
      <c r="D165" s="19" t="n">
        <v>0</v>
      </c>
      <c r="E165" s="19" t="n">
        <v>0</v>
      </c>
      <c r="F165" s="19" t="n">
        <v>0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0</v>
      </c>
      <c r="L165" s="19" t="n">
        <v>0</v>
      </c>
      <c r="M165" s="19" t="n">
        <v>0</v>
      </c>
      <c r="N165" s="19" t="n">
        <v>0</v>
      </c>
      <c r="O165" s="19" t="n">
        <v>0</v>
      </c>
      <c r="P165" s="19" t="n">
        <v>0</v>
      </c>
      <c r="Q165" s="19" t="n">
        <v>0</v>
      </c>
      <c r="R165" s="19" t="n">
        <v>0</v>
      </c>
      <c r="S165" s="19" t="n">
        <v>0</v>
      </c>
      <c r="T165" s="19" t="n">
        <v>0</v>
      </c>
      <c r="U165" s="19" t="n">
        <v>0</v>
      </c>
      <c r="V165" s="19" t="n">
        <v>0</v>
      </c>
      <c r="W165" s="19" t="n">
        <v>0</v>
      </c>
      <c r="X165" s="19" t="n">
        <v>0</v>
      </c>
      <c r="Y165" s="19" t="n">
        <v>0</v>
      </c>
      <c r="Z165" s="19" t="n">
        <v>0</v>
      </c>
      <c r="AA165" s="19" t="n">
        <v>0</v>
      </c>
      <c r="AB165" s="19" t="n">
        <v>0</v>
      </c>
      <c r="AC165" s="19" t="n">
        <v>0</v>
      </c>
      <c r="AD165" s="19" t="n">
        <v>0</v>
      </c>
      <c r="AE165" s="19" t="n">
        <v>0</v>
      </c>
      <c r="AF165" s="19" t="n">
        <v>0</v>
      </c>
      <c r="AG165" s="19" t="n">
        <v>0</v>
      </c>
      <c r="AH165" s="19" t="n">
        <v>0</v>
      </c>
      <c r="AI165" s="19" t="n">
        <v>0.12</v>
      </c>
      <c r="AJ165" s="19" t="n">
        <v>0.23</v>
      </c>
      <c r="AK165" s="19" t="n">
        <v>0.12</v>
      </c>
      <c r="AL165" s="19" t="n">
        <v>0</v>
      </c>
      <c r="AM165" s="19" t="n">
        <v>0</v>
      </c>
      <c r="AN165" s="19" t="n">
        <v>0</v>
      </c>
      <c r="AO165" s="19" t="n">
        <v>0</v>
      </c>
      <c r="AP165" s="19" t="n">
        <v>0</v>
      </c>
      <c r="AQ165" s="19" t="n">
        <v>0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0</v>
      </c>
      <c r="AW165" s="19" t="n">
        <v>0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20" t="n">
        <f aca="false">SUM(D165:BC165)</f>
        <v>0.47</v>
      </c>
    </row>
    <row r="166" customFormat="false" ht="15" hidden="false" customHeight="false" outlineLevel="0" collapsed="false">
      <c r="A166" s="5" t="s">
        <v>342</v>
      </c>
      <c r="B166" s="5" t="s">
        <v>63</v>
      </c>
      <c r="C166" s="5" t="s">
        <v>179</v>
      </c>
      <c r="D166" s="19" t="n">
        <v>0</v>
      </c>
      <c r="E166" s="19" t="n">
        <v>0</v>
      </c>
      <c r="F166" s="19" t="n">
        <v>0</v>
      </c>
      <c r="G166" s="19" t="n">
        <v>0</v>
      </c>
      <c r="H166" s="19" t="n">
        <v>0</v>
      </c>
      <c r="I166" s="19" t="n">
        <v>0</v>
      </c>
      <c r="J166" s="19" t="n">
        <v>0</v>
      </c>
      <c r="K166" s="19" t="n">
        <v>0</v>
      </c>
      <c r="L166" s="19" t="n">
        <v>0</v>
      </c>
      <c r="M166" s="19" t="n">
        <v>0</v>
      </c>
      <c r="N166" s="19" t="n">
        <v>0</v>
      </c>
      <c r="O166" s="19" t="n">
        <v>0</v>
      </c>
      <c r="P166" s="19" t="n">
        <v>0</v>
      </c>
      <c r="Q166" s="19" t="n">
        <v>0</v>
      </c>
      <c r="R166" s="19" t="n">
        <v>0</v>
      </c>
      <c r="S166" s="19" t="n">
        <v>0</v>
      </c>
      <c r="T166" s="19" t="n">
        <v>0</v>
      </c>
      <c r="U166" s="19" t="n">
        <v>0</v>
      </c>
      <c r="V166" s="19" t="n">
        <v>0</v>
      </c>
      <c r="W166" s="19" t="n">
        <v>0</v>
      </c>
      <c r="X166" s="19" t="n">
        <v>0</v>
      </c>
      <c r="Y166" s="19" t="n">
        <v>0</v>
      </c>
      <c r="Z166" s="19" t="n">
        <v>0</v>
      </c>
      <c r="AA166" s="19" t="n">
        <v>0</v>
      </c>
      <c r="AB166" s="19" t="n">
        <v>0.06</v>
      </c>
      <c r="AC166" s="19" t="n">
        <v>0.11</v>
      </c>
      <c r="AD166" s="19" t="n">
        <v>0.06</v>
      </c>
      <c r="AE166" s="19" t="n">
        <v>0</v>
      </c>
      <c r="AF166" s="19" t="n">
        <v>0</v>
      </c>
      <c r="AG166" s="19" t="n">
        <v>0</v>
      </c>
      <c r="AH166" s="19" t="n">
        <v>0</v>
      </c>
      <c r="AI166" s="19" t="n">
        <v>0</v>
      </c>
      <c r="AJ166" s="19" t="n">
        <v>0</v>
      </c>
      <c r="AK166" s="19" t="n">
        <v>0</v>
      </c>
      <c r="AL166" s="19" t="n">
        <v>0</v>
      </c>
      <c r="AM166" s="19" t="n">
        <v>0</v>
      </c>
      <c r="AN166" s="19" t="n">
        <v>0</v>
      </c>
      <c r="AO166" s="19" t="n">
        <v>0</v>
      </c>
      <c r="AP166" s="19" t="n">
        <v>0</v>
      </c>
      <c r="AQ166" s="19" t="n">
        <v>0</v>
      </c>
      <c r="AR166" s="19" t="n">
        <v>0</v>
      </c>
      <c r="AS166" s="19" t="n">
        <v>0</v>
      </c>
      <c r="AT166" s="19" t="n">
        <v>0</v>
      </c>
      <c r="AU166" s="19" t="n">
        <v>0</v>
      </c>
      <c r="AV166" s="19" t="n">
        <v>0</v>
      </c>
      <c r="AW166" s="19" t="n">
        <v>0</v>
      </c>
      <c r="AX166" s="19" t="n">
        <v>0</v>
      </c>
      <c r="AY166" s="19" t="n">
        <v>0</v>
      </c>
      <c r="AZ166" s="19" t="n">
        <v>0</v>
      </c>
      <c r="BA166" s="19" t="n">
        <v>0</v>
      </c>
      <c r="BB166" s="19" t="n">
        <v>0</v>
      </c>
      <c r="BC166" s="19" t="n">
        <v>0</v>
      </c>
      <c r="BD166" s="20" t="n">
        <f aca="false">SUM(D166:BC166)</f>
        <v>0.23</v>
      </c>
    </row>
    <row r="167" customFormat="false" ht="15" hidden="false" customHeight="false" outlineLevel="0" collapsed="false">
      <c r="A167" s="5" t="s">
        <v>343</v>
      </c>
      <c r="B167" s="5" t="s">
        <v>64</v>
      </c>
      <c r="C167" s="5" t="s">
        <v>179</v>
      </c>
      <c r="D167" s="19" t="n">
        <v>0</v>
      </c>
      <c r="E167" s="19" t="n">
        <v>0</v>
      </c>
      <c r="F167" s="19" t="n">
        <v>0</v>
      </c>
      <c r="G167" s="19" t="n">
        <v>0</v>
      </c>
      <c r="H167" s="19" t="n">
        <v>0</v>
      </c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0.09</v>
      </c>
      <c r="N167" s="19" t="n">
        <v>0.21</v>
      </c>
      <c r="O167" s="19" t="n">
        <v>0.16</v>
      </c>
      <c r="P167" s="19" t="n">
        <v>0.03</v>
      </c>
      <c r="Q167" s="19" t="n">
        <v>0</v>
      </c>
      <c r="R167" s="19" t="n">
        <v>0</v>
      </c>
      <c r="S167" s="19" t="n">
        <v>0.17</v>
      </c>
      <c r="T167" s="19" t="n">
        <v>0.37</v>
      </c>
      <c r="U167" s="19" t="n">
        <v>0.42</v>
      </c>
      <c r="V167" s="19" t="n">
        <v>0.4</v>
      </c>
      <c r="W167" s="19" t="n">
        <v>0.23</v>
      </c>
      <c r="X167" s="19" t="n">
        <v>0.09</v>
      </c>
      <c r="Y167" s="19" t="n">
        <v>0.11</v>
      </c>
      <c r="Z167" s="19" t="n">
        <v>0.14</v>
      </c>
      <c r="AA167" s="19" t="n">
        <v>0.07</v>
      </c>
      <c r="AB167" s="19" t="n">
        <v>0</v>
      </c>
      <c r="AC167" s="19" t="n">
        <v>0.05</v>
      </c>
      <c r="AD167" s="19" t="n">
        <v>0.09</v>
      </c>
      <c r="AE167" s="19" t="n">
        <v>0.05</v>
      </c>
      <c r="AF167" s="19" t="n">
        <v>0</v>
      </c>
      <c r="AG167" s="19" t="n">
        <v>0</v>
      </c>
      <c r="AH167" s="19" t="n">
        <v>0.03</v>
      </c>
      <c r="AI167" s="19" t="n">
        <v>0.07</v>
      </c>
      <c r="AJ167" s="19" t="n">
        <v>0.03</v>
      </c>
      <c r="AK167" s="19" t="n">
        <v>0</v>
      </c>
      <c r="AL167" s="19" t="n">
        <v>0</v>
      </c>
      <c r="AM167" s="19" t="n">
        <v>0</v>
      </c>
      <c r="AN167" s="19" t="n">
        <v>0.2</v>
      </c>
      <c r="AO167" s="19" t="n">
        <v>0.4</v>
      </c>
      <c r="AP167" s="19" t="n">
        <v>0.2</v>
      </c>
      <c r="AQ167" s="19" t="n">
        <v>0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0</v>
      </c>
      <c r="AW167" s="19" t="n">
        <v>0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20" t="n">
        <f aca="false">SUM(D167:BC167)</f>
        <v>3.61</v>
      </c>
    </row>
    <row r="168" customFormat="false" ht="15" hidden="false" customHeight="false" outlineLevel="0" collapsed="false">
      <c r="A168" s="5" t="s">
        <v>344</v>
      </c>
      <c r="B168" s="5" t="s">
        <v>69</v>
      </c>
      <c r="C168" s="5" t="s">
        <v>179</v>
      </c>
      <c r="D168" s="19" t="n">
        <v>0</v>
      </c>
      <c r="E168" s="19" t="n">
        <v>0</v>
      </c>
      <c r="F168" s="19" t="n">
        <v>0</v>
      </c>
      <c r="G168" s="19" t="n">
        <v>0</v>
      </c>
      <c r="H168" s="19" t="n">
        <v>0</v>
      </c>
      <c r="I168" s="19" t="n">
        <v>0</v>
      </c>
      <c r="J168" s="19" t="n">
        <v>0</v>
      </c>
      <c r="K168" s="19" t="n">
        <v>0</v>
      </c>
      <c r="L168" s="19" t="n">
        <v>0</v>
      </c>
      <c r="M168" s="19" t="n">
        <v>0</v>
      </c>
      <c r="N168" s="19" t="n">
        <v>0</v>
      </c>
      <c r="O168" s="19" t="n">
        <v>0</v>
      </c>
      <c r="P168" s="19" t="n">
        <v>0</v>
      </c>
      <c r="Q168" s="19" t="n">
        <v>0</v>
      </c>
      <c r="R168" s="19" t="n">
        <v>0</v>
      </c>
      <c r="S168" s="19" t="n">
        <v>0</v>
      </c>
      <c r="T168" s="19" t="n">
        <v>0</v>
      </c>
      <c r="U168" s="19" t="n">
        <v>0</v>
      </c>
      <c r="V168" s="19" t="n">
        <v>0</v>
      </c>
      <c r="W168" s="19" t="n">
        <v>0</v>
      </c>
      <c r="X168" s="19" t="n">
        <v>0</v>
      </c>
      <c r="Y168" s="19" t="n">
        <v>0</v>
      </c>
      <c r="Z168" s="19" t="n">
        <v>0</v>
      </c>
      <c r="AA168" s="19" t="n">
        <v>0.09</v>
      </c>
      <c r="AB168" s="19" t="n">
        <v>0.18</v>
      </c>
      <c r="AC168" s="19" t="n">
        <v>0.09</v>
      </c>
      <c r="AD168" s="19" t="n">
        <v>0</v>
      </c>
      <c r="AE168" s="19" t="n">
        <v>0</v>
      </c>
      <c r="AF168" s="19" t="n">
        <v>0</v>
      </c>
      <c r="AG168" s="19" t="n">
        <v>0</v>
      </c>
      <c r="AH168" s="19" t="n">
        <v>0</v>
      </c>
      <c r="AI168" s="19" t="n">
        <v>0</v>
      </c>
      <c r="AJ168" s="19" t="n">
        <v>0</v>
      </c>
      <c r="AK168" s="19" t="n">
        <v>0</v>
      </c>
      <c r="AL168" s="19" t="n">
        <v>0</v>
      </c>
      <c r="AM168" s="19" t="n">
        <v>0</v>
      </c>
      <c r="AN168" s="19" t="n">
        <v>0</v>
      </c>
      <c r="AO168" s="19" t="n">
        <v>0</v>
      </c>
      <c r="AP168" s="19" t="n">
        <v>0</v>
      </c>
      <c r="AQ168" s="19" t="n">
        <v>0</v>
      </c>
      <c r="AR168" s="19" t="n">
        <v>0</v>
      </c>
      <c r="AS168" s="19" t="n">
        <v>0</v>
      </c>
      <c r="AT168" s="19" t="n">
        <v>0</v>
      </c>
      <c r="AU168" s="19" t="n">
        <v>0</v>
      </c>
      <c r="AV168" s="19" t="n">
        <v>0</v>
      </c>
      <c r="AW168" s="19" t="n">
        <v>0</v>
      </c>
      <c r="AX168" s="19" t="n">
        <v>0</v>
      </c>
      <c r="AY168" s="19" t="n">
        <v>0</v>
      </c>
      <c r="AZ168" s="19" t="n">
        <v>0</v>
      </c>
      <c r="BA168" s="19" t="n">
        <v>0</v>
      </c>
      <c r="BB168" s="19" t="n">
        <v>0</v>
      </c>
      <c r="BC168" s="19" t="n">
        <v>0</v>
      </c>
      <c r="BD168" s="20" t="n">
        <f aca="false">SUM(D168:BC168)</f>
        <v>0.36</v>
      </c>
    </row>
    <row r="169" customFormat="false" ht="15" hidden="false" customHeight="false" outlineLevel="0" collapsed="false">
      <c r="A169" s="5" t="s">
        <v>345</v>
      </c>
      <c r="B169" s="5" t="s">
        <v>69</v>
      </c>
      <c r="C169" s="5" t="s">
        <v>179</v>
      </c>
      <c r="D169" s="19" t="n">
        <v>0</v>
      </c>
      <c r="E169" s="19" t="n">
        <v>0</v>
      </c>
      <c r="F169" s="19" t="n">
        <v>0</v>
      </c>
      <c r="G169" s="19" t="n">
        <v>0</v>
      </c>
      <c r="H169" s="19" t="n">
        <v>0</v>
      </c>
      <c r="I169" s="19" t="n">
        <v>0</v>
      </c>
      <c r="J169" s="19" t="n">
        <v>0</v>
      </c>
      <c r="K169" s="19" t="n">
        <v>0</v>
      </c>
      <c r="L169" s="19" t="n">
        <v>0</v>
      </c>
      <c r="M169" s="19" t="n">
        <v>0</v>
      </c>
      <c r="N169" s="19" t="n">
        <v>0</v>
      </c>
      <c r="O169" s="19" t="n">
        <v>0</v>
      </c>
      <c r="P169" s="19" t="n">
        <v>0</v>
      </c>
      <c r="Q169" s="19" t="n">
        <v>0</v>
      </c>
      <c r="R169" s="19" t="n">
        <v>0</v>
      </c>
      <c r="S169" s="19" t="n">
        <v>0</v>
      </c>
      <c r="T169" s="19" t="n">
        <v>0</v>
      </c>
      <c r="U169" s="19" t="n">
        <v>0</v>
      </c>
      <c r="V169" s="19" t="n">
        <v>0</v>
      </c>
      <c r="W169" s="19" t="n">
        <v>0</v>
      </c>
      <c r="X169" s="19" t="n">
        <v>0</v>
      </c>
      <c r="Y169" s="19" t="n">
        <v>0</v>
      </c>
      <c r="Z169" s="19" t="n">
        <v>0</v>
      </c>
      <c r="AA169" s="19" t="n">
        <v>0</v>
      </c>
      <c r="AB169" s="19" t="n">
        <v>0</v>
      </c>
      <c r="AC169" s="19" t="n">
        <v>0</v>
      </c>
      <c r="AD169" s="19" t="n">
        <v>0</v>
      </c>
      <c r="AE169" s="19" t="n">
        <v>0</v>
      </c>
      <c r="AF169" s="19" t="n">
        <v>0</v>
      </c>
      <c r="AG169" s="19" t="n">
        <v>0.08</v>
      </c>
      <c r="AH169" s="19" t="n">
        <v>0.17</v>
      </c>
      <c r="AI169" s="19" t="n">
        <v>0.08</v>
      </c>
      <c r="AJ169" s="19" t="n">
        <v>0</v>
      </c>
      <c r="AK169" s="19" t="n">
        <v>0</v>
      </c>
      <c r="AL169" s="19" t="n">
        <v>0</v>
      </c>
      <c r="AM169" s="19" t="n">
        <v>0</v>
      </c>
      <c r="AN169" s="19" t="n">
        <v>0</v>
      </c>
      <c r="AO169" s="19" t="n">
        <v>0</v>
      </c>
      <c r="AP169" s="19" t="n">
        <v>0</v>
      </c>
      <c r="AQ169" s="19" t="n">
        <v>0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0</v>
      </c>
      <c r="AW169" s="19" t="n">
        <v>0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20" t="n">
        <f aca="false">SUM(D169:BC169)</f>
        <v>0.33</v>
      </c>
    </row>
    <row r="170" customFormat="false" ht="15" hidden="false" customHeight="false" outlineLevel="0" collapsed="false">
      <c r="A170" s="5" t="s">
        <v>346</v>
      </c>
      <c r="B170" s="5" t="s">
        <v>64</v>
      </c>
      <c r="C170" s="5" t="s">
        <v>235</v>
      </c>
      <c r="D170" s="19" t="n">
        <v>0</v>
      </c>
      <c r="E170" s="19" t="n">
        <v>0</v>
      </c>
      <c r="F170" s="19" t="n">
        <v>0</v>
      </c>
      <c r="G170" s="19" t="n">
        <v>0</v>
      </c>
      <c r="H170" s="19" t="n">
        <v>0</v>
      </c>
      <c r="I170" s="19" t="n">
        <v>0</v>
      </c>
      <c r="J170" s="19" t="n">
        <v>0</v>
      </c>
      <c r="K170" s="19" t="n">
        <v>0</v>
      </c>
      <c r="L170" s="19" t="n">
        <v>0</v>
      </c>
      <c r="M170" s="19" t="n">
        <v>0</v>
      </c>
      <c r="N170" s="19" t="n">
        <v>0</v>
      </c>
      <c r="O170" s="19" t="n">
        <v>0</v>
      </c>
      <c r="P170" s="19" t="n">
        <v>0.03</v>
      </c>
      <c r="Q170" s="19" t="n">
        <v>0.07</v>
      </c>
      <c r="R170" s="19" t="n">
        <v>0.03</v>
      </c>
      <c r="S170" s="19" t="n">
        <v>0</v>
      </c>
      <c r="T170" s="19" t="n">
        <v>0</v>
      </c>
      <c r="U170" s="19" t="n">
        <v>0.03</v>
      </c>
      <c r="V170" s="19" t="n">
        <v>0.05</v>
      </c>
      <c r="W170" s="19" t="n">
        <v>0.03</v>
      </c>
      <c r="X170" s="19" t="n">
        <v>0</v>
      </c>
      <c r="Y170" s="19" t="n">
        <v>0</v>
      </c>
      <c r="Z170" s="19" t="n">
        <v>0</v>
      </c>
      <c r="AA170" s="19" t="n">
        <v>0</v>
      </c>
      <c r="AB170" s="19" t="n">
        <v>0</v>
      </c>
      <c r="AC170" s="19" t="n">
        <v>0</v>
      </c>
      <c r="AD170" s="19" t="n">
        <v>0</v>
      </c>
      <c r="AE170" s="19" t="n">
        <v>0</v>
      </c>
      <c r="AF170" s="19" t="n">
        <v>0</v>
      </c>
      <c r="AG170" s="19" t="n">
        <v>0</v>
      </c>
      <c r="AH170" s="19" t="n">
        <v>0</v>
      </c>
      <c r="AI170" s="19" t="n">
        <v>0</v>
      </c>
      <c r="AJ170" s="19" t="n">
        <v>0</v>
      </c>
      <c r="AK170" s="19" t="n">
        <v>0</v>
      </c>
      <c r="AL170" s="19" t="n">
        <v>0</v>
      </c>
      <c r="AM170" s="19" t="n">
        <v>0</v>
      </c>
      <c r="AN170" s="19" t="n">
        <v>0</v>
      </c>
      <c r="AO170" s="19" t="n">
        <v>0</v>
      </c>
      <c r="AP170" s="19" t="n">
        <v>0</v>
      </c>
      <c r="AQ170" s="19" t="n">
        <v>0</v>
      </c>
      <c r="AR170" s="19" t="n">
        <v>0</v>
      </c>
      <c r="AS170" s="19" t="n">
        <v>0</v>
      </c>
      <c r="AT170" s="19" t="n">
        <v>0</v>
      </c>
      <c r="AU170" s="19" t="n">
        <v>0</v>
      </c>
      <c r="AV170" s="19" t="n">
        <v>0</v>
      </c>
      <c r="AW170" s="19" t="n">
        <v>0</v>
      </c>
      <c r="AX170" s="19" t="n">
        <v>0</v>
      </c>
      <c r="AY170" s="19" t="n">
        <v>0</v>
      </c>
      <c r="AZ170" s="19" t="n">
        <v>0</v>
      </c>
      <c r="BA170" s="19" t="n">
        <v>0</v>
      </c>
      <c r="BB170" s="19" t="n">
        <v>0</v>
      </c>
      <c r="BC170" s="19" t="n">
        <v>0</v>
      </c>
      <c r="BD170" s="20" t="n">
        <f aca="false">SUM(D170:BC170)</f>
        <v>0.24</v>
      </c>
    </row>
    <row r="171" customFormat="false" ht="15" hidden="false" customHeight="false" outlineLevel="0" collapsed="false">
      <c r="A171" s="5" t="s">
        <v>347</v>
      </c>
      <c r="B171" s="5" t="s">
        <v>45</v>
      </c>
      <c r="C171" s="5" t="s">
        <v>179</v>
      </c>
      <c r="D171" s="19" t="n">
        <v>0</v>
      </c>
      <c r="E171" s="19" t="n">
        <v>0</v>
      </c>
      <c r="F171" s="19" t="n">
        <v>0</v>
      </c>
      <c r="G171" s="19" t="n">
        <v>0</v>
      </c>
      <c r="H171" s="19" t="n">
        <v>0</v>
      </c>
      <c r="I171" s="19" t="n">
        <v>0</v>
      </c>
      <c r="J171" s="19" t="n">
        <v>0</v>
      </c>
      <c r="K171" s="19" t="n">
        <v>0</v>
      </c>
      <c r="L171" s="19" t="n">
        <v>0</v>
      </c>
      <c r="M171" s="19" t="n">
        <v>0</v>
      </c>
      <c r="N171" s="19" t="n">
        <v>0</v>
      </c>
      <c r="O171" s="19" t="n">
        <v>0</v>
      </c>
      <c r="P171" s="19" t="n">
        <v>0</v>
      </c>
      <c r="Q171" s="19" t="n">
        <v>0</v>
      </c>
      <c r="R171" s="19" t="n">
        <v>0</v>
      </c>
      <c r="S171" s="19" t="n">
        <v>0</v>
      </c>
      <c r="T171" s="19" t="n">
        <v>0</v>
      </c>
      <c r="U171" s="19" t="n">
        <v>0</v>
      </c>
      <c r="V171" s="19" t="n">
        <v>0</v>
      </c>
      <c r="W171" s="19" t="n">
        <v>0</v>
      </c>
      <c r="X171" s="19" t="n">
        <v>0</v>
      </c>
      <c r="Y171" s="19" t="n">
        <v>0</v>
      </c>
      <c r="Z171" s="19" t="n">
        <v>0</v>
      </c>
      <c r="AA171" s="19" t="n">
        <v>0</v>
      </c>
      <c r="AB171" s="19" t="n">
        <v>0</v>
      </c>
      <c r="AC171" s="19" t="n">
        <v>0</v>
      </c>
      <c r="AD171" s="19" t="n">
        <v>0</v>
      </c>
      <c r="AE171" s="19" t="n">
        <v>0</v>
      </c>
      <c r="AF171" s="19" t="n">
        <v>0</v>
      </c>
      <c r="AG171" s="19" t="n">
        <v>0.08</v>
      </c>
      <c r="AH171" s="19" t="n">
        <v>0.17</v>
      </c>
      <c r="AI171" s="19" t="n">
        <v>0.08</v>
      </c>
      <c r="AJ171" s="19" t="n">
        <v>0</v>
      </c>
      <c r="AK171" s="19" t="n">
        <v>0</v>
      </c>
      <c r="AL171" s="19" t="n">
        <v>0</v>
      </c>
      <c r="AM171" s="19" t="n">
        <v>0</v>
      </c>
      <c r="AN171" s="19" t="n">
        <v>0</v>
      </c>
      <c r="AO171" s="19" t="n">
        <v>0</v>
      </c>
      <c r="AP171" s="19" t="n">
        <v>0</v>
      </c>
      <c r="AQ171" s="19" t="n">
        <v>0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0</v>
      </c>
      <c r="AW171" s="19" t="n">
        <v>0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20" t="n">
        <f aca="false">SUM(D171:BC171)</f>
        <v>0.33</v>
      </c>
    </row>
    <row r="172" customFormat="false" ht="15" hidden="false" customHeight="false" outlineLevel="0" collapsed="false">
      <c r="A172" s="5" t="s">
        <v>348</v>
      </c>
      <c r="B172" s="5" t="s">
        <v>45</v>
      </c>
      <c r="C172" s="5" t="s">
        <v>179</v>
      </c>
      <c r="D172" s="19" t="n">
        <v>0</v>
      </c>
      <c r="E172" s="19" t="n">
        <v>0</v>
      </c>
      <c r="F172" s="19" t="n">
        <v>0</v>
      </c>
      <c r="G172" s="19" t="n">
        <v>0</v>
      </c>
      <c r="H172" s="19" t="n">
        <v>0</v>
      </c>
      <c r="I172" s="19" t="n">
        <v>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  <c r="O172" s="19" t="n">
        <v>0</v>
      </c>
      <c r="P172" s="19" t="n">
        <v>0</v>
      </c>
      <c r="Q172" s="19" t="n">
        <v>0.06</v>
      </c>
      <c r="R172" s="19" t="n">
        <v>0.11</v>
      </c>
      <c r="S172" s="19" t="n">
        <v>0.06</v>
      </c>
      <c r="T172" s="19" t="n">
        <v>0</v>
      </c>
      <c r="U172" s="19" t="n">
        <v>0</v>
      </c>
      <c r="V172" s="19" t="n">
        <v>0</v>
      </c>
      <c r="W172" s="19" t="n">
        <v>0</v>
      </c>
      <c r="X172" s="19" t="n">
        <v>0</v>
      </c>
      <c r="Y172" s="19" t="n">
        <v>0</v>
      </c>
      <c r="Z172" s="19" t="n">
        <v>0</v>
      </c>
      <c r="AA172" s="19" t="n">
        <v>0</v>
      </c>
      <c r="AB172" s="19" t="n">
        <v>0</v>
      </c>
      <c r="AC172" s="19" t="n">
        <v>0</v>
      </c>
      <c r="AD172" s="19" t="n">
        <v>0</v>
      </c>
      <c r="AE172" s="19" t="n">
        <v>0</v>
      </c>
      <c r="AF172" s="19" t="n">
        <v>0</v>
      </c>
      <c r="AG172" s="19" t="n">
        <v>0</v>
      </c>
      <c r="AH172" s="19" t="n">
        <v>0</v>
      </c>
      <c r="AI172" s="19" t="n">
        <v>0</v>
      </c>
      <c r="AJ172" s="19" t="n">
        <v>0</v>
      </c>
      <c r="AK172" s="19" t="n">
        <v>0</v>
      </c>
      <c r="AL172" s="19" t="n">
        <v>0</v>
      </c>
      <c r="AM172" s="19" t="n">
        <v>0</v>
      </c>
      <c r="AN172" s="19" t="n">
        <v>0</v>
      </c>
      <c r="AO172" s="19" t="n">
        <v>0</v>
      </c>
      <c r="AP172" s="19" t="n">
        <v>0</v>
      </c>
      <c r="AQ172" s="19" t="n">
        <v>0</v>
      </c>
      <c r="AR172" s="19" t="n">
        <v>0</v>
      </c>
      <c r="AS172" s="19" t="n">
        <v>0</v>
      </c>
      <c r="AT172" s="19" t="n">
        <v>0</v>
      </c>
      <c r="AU172" s="19" t="n">
        <v>0</v>
      </c>
      <c r="AV172" s="19" t="n">
        <v>0</v>
      </c>
      <c r="AW172" s="19" t="n">
        <v>0</v>
      </c>
      <c r="AX172" s="19" t="n">
        <v>0</v>
      </c>
      <c r="AY172" s="19" t="n">
        <v>0</v>
      </c>
      <c r="AZ172" s="19" t="n">
        <v>0</v>
      </c>
      <c r="BA172" s="19" t="n">
        <v>0</v>
      </c>
      <c r="BB172" s="19" t="n">
        <v>0</v>
      </c>
      <c r="BC172" s="19" t="n">
        <v>0</v>
      </c>
      <c r="BD172" s="20" t="n">
        <f aca="false">SUM(D172:BC172)</f>
        <v>0.23</v>
      </c>
    </row>
    <row r="173" customFormat="false" ht="15" hidden="false" customHeight="false" outlineLevel="0" collapsed="false">
      <c r="A173" s="5" t="s">
        <v>349</v>
      </c>
      <c r="B173" s="5" t="s">
        <v>57</v>
      </c>
      <c r="C173" s="5" t="s">
        <v>179</v>
      </c>
      <c r="D173" s="19" t="n">
        <v>0</v>
      </c>
      <c r="E173" s="19" t="n">
        <v>0</v>
      </c>
      <c r="F173" s="19" t="n">
        <v>0</v>
      </c>
      <c r="G173" s="19" t="n">
        <v>0</v>
      </c>
      <c r="H173" s="19" t="n">
        <v>0</v>
      </c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0</v>
      </c>
      <c r="O173" s="19" t="n">
        <v>0</v>
      </c>
      <c r="P173" s="19" t="n">
        <v>0</v>
      </c>
      <c r="Q173" s="19" t="n">
        <v>0</v>
      </c>
      <c r="R173" s="19" t="n">
        <v>0</v>
      </c>
      <c r="S173" s="19" t="n">
        <v>0</v>
      </c>
      <c r="T173" s="19" t="n">
        <v>0</v>
      </c>
      <c r="U173" s="19" t="n">
        <v>0</v>
      </c>
      <c r="V173" s="19" t="n">
        <v>0</v>
      </c>
      <c r="W173" s="19" t="n">
        <v>0</v>
      </c>
      <c r="X173" s="19" t="n">
        <v>0</v>
      </c>
      <c r="Y173" s="19" t="n">
        <v>0</v>
      </c>
      <c r="Z173" s="19" t="n">
        <v>0.06</v>
      </c>
      <c r="AA173" s="19" t="n">
        <v>0.11</v>
      </c>
      <c r="AB173" s="19" t="n">
        <v>0.06</v>
      </c>
      <c r="AC173" s="19" t="n">
        <v>0.09</v>
      </c>
      <c r="AD173" s="19" t="n">
        <v>0.18</v>
      </c>
      <c r="AE173" s="19" t="n">
        <v>0.09</v>
      </c>
      <c r="AF173" s="19" t="n">
        <v>0</v>
      </c>
      <c r="AG173" s="19" t="n">
        <v>0</v>
      </c>
      <c r="AH173" s="19" t="n">
        <v>0</v>
      </c>
      <c r="AI173" s="19" t="n">
        <v>0</v>
      </c>
      <c r="AJ173" s="19" t="n">
        <v>0</v>
      </c>
      <c r="AK173" s="19" t="n">
        <v>0</v>
      </c>
      <c r="AL173" s="19" t="n">
        <v>0</v>
      </c>
      <c r="AM173" s="19" t="n">
        <v>0</v>
      </c>
      <c r="AN173" s="19" t="n">
        <v>0</v>
      </c>
      <c r="AO173" s="19" t="n">
        <v>0</v>
      </c>
      <c r="AP173" s="19" t="n">
        <v>0</v>
      </c>
      <c r="AQ173" s="19" t="n">
        <v>0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0</v>
      </c>
      <c r="AW173" s="19" t="n">
        <v>0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20" t="n">
        <f aca="false">SUM(D173:BC173)</f>
        <v>0.59</v>
      </c>
    </row>
    <row r="174" customFormat="false" ht="15" hidden="false" customHeight="false" outlineLevel="0" collapsed="false">
      <c r="A174" s="5" t="s">
        <v>350</v>
      </c>
      <c r="B174" s="5" t="s">
        <v>54</v>
      </c>
      <c r="C174" s="5" t="s">
        <v>179</v>
      </c>
      <c r="D174" s="19" t="n">
        <v>0</v>
      </c>
      <c r="E174" s="19" t="n">
        <v>0</v>
      </c>
      <c r="F174" s="19" t="n">
        <v>0</v>
      </c>
      <c r="G174" s="19" t="n">
        <v>0</v>
      </c>
      <c r="H174" s="19" t="n">
        <v>0</v>
      </c>
      <c r="I174" s="19" t="n">
        <v>0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  <c r="O174" s="19" t="n">
        <v>0</v>
      </c>
      <c r="P174" s="19" t="n">
        <v>0</v>
      </c>
      <c r="Q174" s="19" t="n">
        <v>0</v>
      </c>
      <c r="R174" s="19" t="n">
        <v>0</v>
      </c>
      <c r="S174" s="19" t="n">
        <v>0</v>
      </c>
      <c r="T174" s="19" t="n">
        <v>0</v>
      </c>
      <c r="U174" s="19" t="n">
        <v>0</v>
      </c>
      <c r="V174" s="19" t="n">
        <v>0.03</v>
      </c>
      <c r="W174" s="19" t="n">
        <v>0.07</v>
      </c>
      <c r="X174" s="19" t="n">
        <v>0.03</v>
      </c>
      <c r="Y174" s="19" t="n">
        <v>0.03</v>
      </c>
      <c r="Z174" s="19" t="n">
        <v>0.07</v>
      </c>
      <c r="AA174" s="19" t="n">
        <v>0.03</v>
      </c>
      <c r="AB174" s="19" t="n">
        <v>0.08</v>
      </c>
      <c r="AC174" s="19" t="n">
        <v>0.16</v>
      </c>
      <c r="AD174" s="19" t="n">
        <v>0.08</v>
      </c>
      <c r="AE174" s="19" t="n">
        <v>0</v>
      </c>
      <c r="AF174" s="19" t="n">
        <v>0</v>
      </c>
      <c r="AG174" s="19" t="n">
        <v>0</v>
      </c>
      <c r="AH174" s="19" t="n">
        <v>0</v>
      </c>
      <c r="AI174" s="19" t="n">
        <v>0</v>
      </c>
      <c r="AJ174" s="19" t="n">
        <v>0</v>
      </c>
      <c r="AK174" s="19" t="n">
        <v>0</v>
      </c>
      <c r="AL174" s="19" t="n">
        <v>0</v>
      </c>
      <c r="AM174" s="19" t="n">
        <v>0</v>
      </c>
      <c r="AN174" s="19" t="n">
        <v>0</v>
      </c>
      <c r="AO174" s="19" t="n">
        <v>0</v>
      </c>
      <c r="AP174" s="19" t="n">
        <v>0</v>
      </c>
      <c r="AQ174" s="19" t="n">
        <v>0</v>
      </c>
      <c r="AR174" s="19" t="n">
        <v>0</v>
      </c>
      <c r="AS174" s="19" t="n">
        <v>0</v>
      </c>
      <c r="AT174" s="19" t="n">
        <v>0</v>
      </c>
      <c r="AU174" s="19" t="n">
        <v>0</v>
      </c>
      <c r="AV174" s="19" t="n">
        <v>0</v>
      </c>
      <c r="AW174" s="19" t="n">
        <v>0</v>
      </c>
      <c r="AX174" s="19" t="n">
        <v>0</v>
      </c>
      <c r="AY174" s="19" t="n">
        <v>0</v>
      </c>
      <c r="AZ174" s="19" t="n">
        <v>0</v>
      </c>
      <c r="BA174" s="19" t="n">
        <v>0</v>
      </c>
      <c r="BB174" s="19" t="n">
        <v>0</v>
      </c>
      <c r="BC174" s="19" t="n">
        <v>0</v>
      </c>
      <c r="BD174" s="20" t="n">
        <f aca="false">SUM(D174:BC174)</f>
        <v>0.58</v>
      </c>
    </row>
    <row r="175" customFormat="false" ht="15" hidden="false" customHeight="false" outlineLevel="0" collapsed="false">
      <c r="A175" s="5" t="s">
        <v>351</v>
      </c>
      <c r="B175" s="5" t="s">
        <v>69</v>
      </c>
      <c r="C175" s="5" t="s">
        <v>179</v>
      </c>
      <c r="D175" s="19" t="n">
        <v>0</v>
      </c>
      <c r="E175" s="19" t="n">
        <v>0</v>
      </c>
      <c r="F175" s="19" t="n">
        <v>0</v>
      </c>
      <c r="G175" s="19" t="n">
        <v>0</v>
      </c>
      <c r="H175" s="19" t="n">
        <v>0</v>
      </c>
      <c r="I175" s="19" t="n">
        <v>0</v>
      </c>
      <c r="J175" s="19" t="n">
        <v>0</v>
      </c>
      <c r="K175" s="19" t="n">
        <v>0</v>
      </c>
      <c r="L175" s="19" t="n">
        <v>0</v>
      </c>
      <c r="M175" s="19" t="n">
        <v>0</v>
      </c>
      <c r="N175" s="19" t="n">
        <v>0</v>
      </c>
      <c r="O175" s="19" t="n">
        <v>0</v>
      </c>
      <c r="P175" s="19" t="n">
        <v>0</v>
      </c>
      <c r="Q175" s="19" t="n">
        <v>0.06</v>
      </c>
      <c r="R175" s="19" t="n">
        <v>0.11</v>
      </c>
      <c r="S175" s="19" t="n">
        <v>0.06</v>
      </c>
      <c r="T175" s="19" t="n">
        <v>0</v>
      </c>
      <c r="U175" s="19" t="n">
        <v>0</v>
      </c>
      <c r="V175" s="19" t="n">
        <v>0</v>
      </c>
      <c r="W175" s="19" t="n">
        <v>0</v>
      </c>
      <c r="X175" s="19" t="n">
        <v>0</v>
      </c>
      <c r="Y175" s="19" t="n">
        <v>0</v>
      </c>
      <c r="Z175" s="19" t="n">
        <v>0</v>
      </c>
      <c r="AA175" s="19" t="n">
        <v>0</v>
      </c>
      <c r="AB175" s="19" t="n">
        <v>0</v>
      </c>
      <c r="AC175" s="19" t="n">
        <v>0</v>
      </c>
      <c r="AD175" s="19" t="n">
        <v>0</v>
      </c>
      <c r="AE175" s="19" t="n">
        <v>0</v>
      </c>
      <c r="AF175" s="19" t="n">
        <v>0</v>
      </c>
      <c r="AG175" s="19" t="n">
        <v>0</v>
      </c>
      <c r="AH175" s="19" t="n">
        <v>0</v>
      </c>
      <c r="AI175" s="19" t="n">
        <v>0</v>
      </c>
      <c r="AJ175" s="19" t="n">
        <v>0</v>
      </c>
      <c r="AK175" s="19" t="n">
        <v>0</v>
      </c>
      <c r="AL175" s="19" t="n">
        <v>0</v>
      </c>
      <c r="AM175" s="19" t="n">
        <v>0</v>
      </c>
      <c r="AN175" s="19" t="n">
        <v>0</v>
      </c>
      <c r="AO175" s="19" t="n">
        <v>0</v>
      </c>
      <c r="AP175" s="19" t="n">
        <v>0</v>
      </c>
      <c r="AQ175" s="19" t="n">
        <v>0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0</v>
      </c>
      <c r="AW175" s="19" t="n">
        <v>0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20" t="n">
        <f aca="false">SUM(D175:BC175)</f>
        <v>0.23</v>
      </c>
    </row>
    <row r="176" customFormat="false" ht="15" hidden="false" customHeight="false" outlineLevel="0" collapsed="false">
      <c r="A176" s="5" t="s">
        <v>352</v>
      </c>
      <c r="B176" s="5" t="s">
        <v>45</v>
      </c>
      <c r="C176" s="5" t="s">
        <v>179</v>
      </c>
      <c r="D176" s="19" t="n">
        <v>0</v>
      </c>
      <c r="E176" s="19" t="n">
        <v>0</v>
      </c>
      <c r="F176" s="19" t="n">
        <v>0</v>
      </c>
      <c r="G176" s="19" t="n">
        <v>0</v>
      </c>
      <c r="H176" s="19" t="n">
        <v>0</v>
      </c>
      <c r="I176" s="19" t="n">
        <v>0</v>
      </c>
      <c r="J176" s="19" t="n">
        <v>0</v>
      </c>
      <c r="K176" s="19" t="n">
        <v>0</v>
      </c>
      <c r="L176" s="19" t="n">
        <v>0</v>
      </c>
      <c r="M176" s="19" t="n">
        <v>0</v>
      </c>
      <c r="N176" s="19" t="n">
        <v>0</v>
      </c>
      <c r="O176" s="19" t="n">
        <v>0</v>
      </c>
      <c r="P176" s="19" t="n">
        <v>0</v>
      </c>
      <c r="Q176" s="19" t="n">
        <v>0.06</v>
      </c>
      <c r="R176" s="19" t="n">
        <v>0.11</v>
      </c>
      <c r="S176" s="19" t="n">
        <v>0.06</v>
      </c>
      <c r="T176" s="19" t="n">
        <v>0</v>
      </c>
      <c r="U176" s="19" t="n">
        <v>0</v>
      </c>
      <c r="V176" s="19" t="n">
        <v>0</v>
      </c>
      <c r="W176" s="19" t="n">
        <v>0</v>
      </c>
      <c r="X176" s="19" t="n">
        <v>0</v>
      </c>
      <c r="Y176" s="19" t="n">
        <v>0</v>
      </c>
      <c r="Z176" s="19" t="n">
        <v>0</v>
      </c>
      <c r="AA176" s="19" t="n">
        <v>0</v>
      </c>
      <c r="AB176" s="19" t="n">
        <v>0</v>
      </c>
      <c r="AC176" s="19" t="n">
        <v>0</v>
      </c>
      <c r="AD176" s="19" t="n">
        <v>0</v>
      </c>
      <c r="AE176" s="19" t="n">
        <v>0</v>
      </c>
      <c r="AF176" s="19" t="n">
        <v>0</v>
      </c>
      <c r="AG176" s="19" t="n">
        <v>0</v>
      </c>
      <c r="AH176" s="19" t="n">
        <v>0</v>
      </c>
      <c r="AI176" s="19" t="n">
        <v>0</v>
      </c>
      <c r="AJ176" s="19" t="n">
        <v>0</v>
      </c>
      <c r="AK176" s="19" t="n">
        <v>0</v>
      </c>
      <c r="AL176" s="19" t="n">
        <v>0</v>
      </c>
      <c r="AM176" s="19" t="n">
        <v>0</v>
      </c>
      <c r="AN176" s="19" t="n">
        <v>0</v>
      </c>
      <c r="AO176" s="19" t="n">
        <v>0</v>
      </c>
      <c r="AP176" s="19" t="n">
        <v>0</v>
      </c>
      <c r="AQ176" s="19" t="n">
        <v>0</v>
      </c>
      <c r="AR176" s="19" t="n">
        <v>0</v>
      </c>
      <c r="AS176" s="19" t="n">
        <v>0</v>
      </c>
      <c r="AT176" s="19" t="n">
        <v>0</v>
      </c>
      <c r="AU176" s="19" t="n">
        <v>0</v>
      </c>
      <c r="AV176" s="19" t="n">
        <v>0</v>
      </c>
      <c r="AW176" s="19" t="n">
        <v>0</v>
      </c>
      <c r="AX176" s="19" t="n">
        <v>0</v>
      </c>
      <c r="AY176" s="19" t="n">
        <v>0</v>
      </c>
      <c r="AZ176" s="19" t="n">
        <v>0</v>
      </c>
      <c r="BA176" s="19" t="n">
        <v>0</v>
      </c>
      <c r="BB176" s="19" t="n">
        <v>0</v>
      </c>
      <c r="BC176" s="19" t="n">
        <v>0</v>
      </c>
      <c r="BD176" s="20" t="n">
        <f aca="false">SUM(D176:BC176)</f>
        <v>0.23</v>
      </c>
    </row>
    <row r="177" customFormat="false" ht="15" hidden="false" customHeight="false" outlineLevel="0" collapsed="false">
      <c r="A177" s="5" t="s">
        <v>353</v>
      </c>
      <c r="B177" s="5" t="s">
        <v>48</v>
      </c>
      <c r="C177" s="5" t="s">
        <v>179</v>
      </c>
      <c r="D177" s="19" t="n">
        <v>0</v>
      </c>
      <c r="E177" s="19" t="n">
        <v>0</v>
      </c>
      <c r="F177" s="19" t="n">
        <v>0</v>
      </c>
      <c r="G177" s="19" t="n">
        <v>0</v>
      </c>
      <c r="H177" s="19" t="n">
        <v>0</v>
      </c>
      <c r="I177" s="19" t="n">
        <v>0</v>
      </c>
      <c r="J177" s="19" t="n">
        <v>0</v>
      </c>
      <c r="K177" s="19" t="n">
        <v>0</v>
      </c>
      <c r="L177" s="19" t="n">
        <v>0</v>
      </c>
      <c r="M177" s="19" t="n">
        <v>0.06</v>
      </c>
      <c r="N177" s="19" t="n">
        <v>0.11</v>
      </c>
      <c r="O177" s="19" t="n">
        <v>0.06</v>
      </c>
      <c r="P177" s="19" t="n">
        <v>0</v>
      </c>
      <c r="Q177" s="19" t="n">
        <v>0</v>
      </c>
      <c r="R177" s="19" t="n">
        <v>0</v>
      </c>
      <c r="S177" s="19" t="n">
        <v>0</v>
      </c>
      <c r="T177" s="19" t="n">
        <v>0</v>
      </c>
      <c r="U177" s="19" t="n">
        <v>0</v>
      </c>
      <c r="V177" s="19" t="n">
        <v>0</v>
      </c>
      <c r="W177" s="19" t="n">
        <v>0</v>
      </c>
      <c r="X177" s="19" t="n">
        <v>0.05</v>
      </c>
      <c r="Y177" s="19" t="n">
        <v>0.09</v>
      </c>
      <c r="Z177" s="19" t="n">
        <v>0.05</v>
      </c>
      <c r="AA177" s="19" t="n">
        <v>0</v>
      </c>
      <c r="AB177" s="19" t="n">
        <v>0</v>
      </c>
      <c r="AC177" s="19" t="n">
        <v>0.09</v>
      </c>
      <c r="AD177" s="19" t="n">
        <v>0.18</v>
      </c>
      <c r="AE177" s="19" t="n">
        <v>0.09</v>
      </c>
      <c r="AF177" s="19" t="n">
        <v>0</v>
      </c>
      <c r="AG177" s="19" t="n">
        <v>0</v>
      </c>
      <c r="AH177" s="19" t="n">
        <v>0</v>
      </c>
      <c r="AI177" s="19" t="n">
        <v>0</v>
      </c>
      <c r="AJ177" s="19" t="n">
        <v>0</v>
      </c>
      <c r="AK177" s="19" t="n">
        <v>0</v>
      </c>
      <c r="AL177" s="19" t="n">
        <v>0</v>
      </c>
      <c r="AM177" s="19" t="n">
        <v>0</v>
      </c>
      <c r="AN177" s="19" t="n">
        <v>0</v>
      </c>
      <c r="AO177" s="19" t="n">
        <v>0</v>
      </c>
      <c r="AP177" s="19" t="n">
        <v>0</v>
      </c>
      <c r="AQ177" s="19" t="n">
        <v>0</v>
      </c>
      <c r="AR177" s="19" t="n">
        <v>0</v>
      </c>
      <c r="AS177" s="19" t="n">
        <v>0</v>
      </c>
      <c r="AT177" s="19" t="n">
        <v>0.08</v>
      </c>
      <c r="AU177" s="19" t="n">
        <v>0.17</v>
      </c>
      <c r="AV177" s="19" t="n">
        <v>0.08</v>
      </c>
      <c r="AW177" s="19" t="n">
        <v>0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20" t="n">
        <f aca="false">SUM(D177:BC177)</f>
        <v>1.11</v>
      </c>
    </row>
    <row r="178" customFormat="false" ht="15" hidden="false" customHeight="false" outlineLevel="0" collapsed="false">
      <c r="A178" s="5" t="s">
        <v>354</v>
      </c>
      <c r="B178" s="5" t="s">
        <v>45</v>
      </c>
      <c r="C178" s="5" t="s">
        <v>179</v>
      </c>
      <c r="D178" s="19" t="n">
        <v>0</v>
      </c>
      <c r="E178" s="19" t="n">
        <v>0</v>
      </c>
      <c r="F178" s="19" t="n">
        <v>0</v>
      </c>
      <c r="G178" s="19" t="n">
        <v>0</v>
      </c>
      <c r="H178" s="19" t="n">
        <v>0</v>
      </c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0</v>
      </c>
      <c r="O178" s="19" t="n">
        <v>0</v>
      </c>
      <c r="P178" s="19" t="n">
        <v>0</v>
      </c>
      <c r="Q178" s="19" t="n">
        <v>0</v>
      </c>
      <c r="R178" s="19" t="n">
        <v>0</v>
      </c>
      <c r="S178" s="19" t="n">
        <v>0</v>
      </c>
      <c r="T178" s="19" t="n">
        <v>0</v>
      </c>
      <c r="U178" s="19" t="n">
        <v>0</v>
      </c>
      <c r="V178" s="19" t="n">
        <v>0</v>
      </c>
      <c r="W178" s="19" t="n">
        <v>0</v>
      </c>
      <c r="X178" s="19" t="n">
        <v>0</v>
      </c>
      <c r="Y178" s="19" t="n">
        <v>0</v>
      </c>
      <c r="Z178" s="19" t="n">
        <v>0</v>
      </c>
      <c r="AA178" s="19" t="n">
        <v>0</v>
      </c>
      <c r="AB178" s="19" t="n">
        <v>0.09</v>
      </c>
      <c r="AC178" s="19" t="n">
        <v>0.18</v>
      </c>
      <c r="AD178" s="19" t="n">
        <v>0.09</v>
      </c>
      <c r="AE178" s="19" t="n">
        <v>0</v>
      </c>
      <c r="AF178" s="19" t="n">
        <v>0</v>
      </c>
      <c r="AG178" s="19" t="n">
        <v>0</v>
      </c>
      <c r="AH178" s="19" t="n">
        <v>0</v>
      </c>
      <c r="AI178" s="19" t="n">
        <v>0</v>
      </c>
      <c r="AJ178" s="19" t="n">
        <v>0</v>
      </c>
      <c r="AK178" s="19" t="n">
        <v>0</v>
      </c>
      <c r="AL178" s="19" t="n">
        <v>0</v>
      </c>
      <c r="AM178" s="19" t="n">
        <v>0</v>
      </c>
      <c r="AN178" s="19" t="n">
        <v>0</v>
      </c>
      <c r="AO178" s="19" t="n">
        <v>0</v>
      </c>
      <c r="AP178" s="19" t="n">
        <v>0</v>
      </c>
      <c r="AQ178" s="19" t="n">
        <v>0</v>
      </c>
      <c r="AR178" s="19" t="n">
        <v>0</v>
      </c>
      <c r="AS178" s="19" t="n">
        <v>0</v>
      </c>
      <c r="AT178" s="19" t="n">
        <v>0</v>
      </c>
      <c r="AU178" s="19" t="n">
        <v>0</v>
      </c>
      <c r="AV178" s="19" t="n">
        <v>0</v>
      </c>
      <c r="AW178" s="19" t="n">
        <v>0</v>
      </c>
      <c r="AX178" s="19" t="n">
        <v>0</v>
      </c>
      <c r="AY178" s="19" t="n">
        <v>0</v>
      </c>
      <c r="AZ178" s="19" t="n">
        <v>0</v>
      </c>
      <c r="BA178" s="19" t="n">
        <v>0</v>
      </c>
      <c r="BB178" s="19" t="n">
        <v>0</v>
      </c>
      <c r="BC178" s="19" t="n">
        <v>0</v>
      </c>
      <c r="BD178" s="20" t="n">
        <f aca="false">SUM(D178:BC178)</f>
        <v>0.36</v>
      </c>
    </row>
    <row r="179" customFormat="false" ht="15" hidden="false" customHeight="false" outlineLevel="0" collapsed="false">
      <c r="A179" s="5" t="s">
        <v>355</v>
      </c>
      <c r="B179" s="5" t="s">
        <v>63</v>
      </c>
      <c r="C179" s="5" t="s">
        <v>179</v>
      </c>
      <c r="D179" s="19" t="n">
        <v>0</v>
      </c>
      <c r="E179" s="19" t="n">
        <v>0</v>
      </c>
      <c r="F179" s="19" t="n">
        <v>0</v>
      </c>
      <c r="G179" s="19" t="n">
        <v>0</v>
      </c>
      <c r="H179" s="19" t="n">
        <v>0</v>
      </c>
      <c r="I179" s="19" t="n">
        <v>0</v>
      </c>
      <c r="J179" s="19" t="n">
        <v>0</v>
      </c>
      <c r="K179" s="19" t="n">
        <v>0</v>
      </c>
      <c r="L179" s="19" t="n">
        <v>0</v>
      </c>
      <c r="M179" s="19" t="n">
        <v>0</v>
      </c>
      <c r="N179" s="19" t="n">
        <v>0</v>
      </c>
      <c r="O179" s="19" t="n">
        <v>0</v>
      </c>
      <c r="P179" s="19" t="n">
        <v>0</v>
      </c>
      <c r="Q179" s="19" t="n">
        <v>0</v>
      </c>
      <c r="R179" s="19" t="n">
        <v>0</v>
      </c>
      <c r="S179" s="19" t="n">
        <v>0</v>
      </c>
      <c r="T179" s="19" t="n">
        <v>0</v>
      </c>
      <c r="U179" s="19" t="n">
        <v>0</v>
      </c>
      <c r="V179" s="19" t="n">
        <v>0</v>
      </c>
      <c r="W179" s="19" t="n">
        <v>0</v>
      </c>
      <c r="X179" s="19" t="n">
        <v>0</v>
      </c>
      <c r="Y179" s="19" t="n">
        <v>0</v>
      </c>
      <c r="Z179" s="19" t="n">
        <v>0</v>
      </c>
      <c r="AA179" s="19" t="n">
        <v>0</v>
      </c>
      <c r="AB179" s="19" t="n">
        <v>0</v>
      </c>
      <c r="AC179" s="19" t="n">
        <v>0</v>
      </c>
      <c r="AD179" s="19" t="n">
        <v>0</v>
      </c>
      <c r="AE179" s="19" t="n">
        <v>0</v>
      </c>
      <c r="AF179" s="19" t="n">
        <v>0</v>
      </c>
      <c r="AG179" s="19" t="n">
        <v>0</v>
      </c>
      <c r="AH179" s="19" t="n">
        <v>0</v>
      </c>
      <c r="AI179" s="19" t="n">
        <v>0</v>
      </c>
      <c r="AJ179" s="19" t="n">
        <v>0</v>
      </c>
      <c r="AK179" s="19" t="n">
        <v>0</v>
      </c>
      <c r="AL179" s="19" t="n">
        <v>0.17</v>
      </c>
      <c r="AM179" s="19" t="n">
        <v>0.33</v>
      </c>
      <c r="AN179" s="19" t="n">
        <v>0.17</v>
      </c>
      <c r="AO179" s="19" t="n">
        <v>0</v>
      </c>
      <c r="AP179" s="19" t="n">
        <v>0</v>
      </c>
      <c r="AQ179" s="19" t="n">
        <v>0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0</v>
      </c>
      <c r="AW179" s="19" t="n">
        <v>0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20" t="n">
        <f aca="false">SUM(D179:BC179)</f>
        <v>0.67</v>
      </c>
    </row>
    <row r="180" customFormat="false" ht="15" hidden="false" customHeight="false" outlineLevel="0" collapsed="false">
      <c r="A180" s="5" t="s">
        <v>356</v>
      </c>
      <c r="B180" s="5" t="s">
        <v>45</v>
      </c>
      <c r="C180" s="5" t="s">
        <v>179</v>
      </c>
      <c r="D180" s="19" t="n">
        <v>0</v>
      </c>
      <c r="E180" s="19" t="n">
        <v>0</v>
      </c>
      <c r="F180" s="19" t="n">
        <v>0</v>
      </c>
      <c r="G180" s="19" t="n">
        <v>0</v>
      </c>
      <c r="H180" s="19" t="n">
        <v>0</v>
      </c>
      <c r="I180" s="19" t="n">
        <v>0</v>
      </c>
      <c r="J180" s="19" t="n">
        <v>0</v>
      </c>
      <c r="K180" s="19" t="n">
        <v>0</v>
      </c>
      <c r="L180" s="19" t="n">
        <v>0</v>
      </c>
      <c r="M180" s="19" t="n">
        <v>0</v>
      </c>
      <c r="N180" s="19" t="n">
        <v>0</v>
      </c>
      <c r="O180" s="19" t="n">
        <v>0</v>
      </c>
      <c r="P180" s="19" t="n">
        <v>0</v>
      </c>
      <c r="Q180" s="19" t="n">
        <v>0</v>
      </c>
      <c r="R180" s="19" t="n">
        <v>0</v>
      </c>
      <c r="S180" s="19" t="n">
        <v>0</v>
      </c>
      <c r="T180" s="19" t="n">
        <v>0</v>
      </c>
      <c r="U180" s="19" t="n">
        <v>0</v>
      </c>
      <c r="V180" s="19" t="n">
        <v>0</v>
      </c>
      <c r="W180" s="19" t="n">
        <v>0</v>
      </c>
      <c r="X180" s="19" t="n">
        <v>0</v>
      </c>
      <c r="Y180" s="19" t="n">
        <v>0</v>
      </c>
      <c r="Z180" s="19" t="n">
        <v>0</v>
      </c>
      <c r="AA180" s="19" t="n">
        <v>0.06</v>
      </c>
      <c r="AB180" s="19" t="n">
        <v>0.11</v>
      </c>
      <c r="AC180" s="19" t="n">
        <v>0.06</v>
      </c>
      <c r="AD180" s="19" t="n">
        <v>0</v>
      </c>
      <c r="AE180" s="19" t="n">
        <v>0</v>
      </c>
      <c r="AF180" s="19" t="n">
        <v>0</v>
      </c>
      <c r="AG180" s="19" t="n">
        <v>0</v>
      </c>
      <c r="AH180" s="19" t="n">
        <v>0</v>
      </c>
      <c r="AI180" s="19" t="n">
        <v>0</v>
      </c>
      <c r="AJ180" s="19" t="n">
        <v>0</v>
      </c>
      <c r="AK180" s="19" t="n">
        <v>0</v>
      </c>
      <c r="AL180" s="19" t="n">
        <v>0</v>
      </c>
      <c r="AM180" s="19" t="n">
        <v>0</v>
      </c>
      <c r="AN180" s="19" t="n">
        <v>0</v>
      </c>
      <c r="AO180" s="19" t="n">
        <v>0</v>
      </c>
      <c r="AP180" s="19" t="n">
        <v>0</v>
      </c>
      <c r="AQ180" s="19" t="n">
        <v>0</v>
      </c>
      <c r="AR180" s="19" t="n">
        <v>0</v>
      </c>
      <c r="AS180" s="19" t="n">
        <v>0</v>
      </c>
      <c r="AT180" s="19" t="n">
        <v>0</v>
      </c>
      <c r="AU180" s="19" t="n">
        <v>0</v>
      </c>
      <c r="AV180" s="19" t="n">
        <v>0</v>
      </c>
      <c r="AW180" s="19" t="n">
        <v>0</v>
      </c>
      <c r="AX180" s="19" t="n">
        <v>0</v>
      </c>
      <c r="AY180" s="19" t="n">
        <v>0</v>
      </c>
      <c r="AZ180" s="19" t="n">
        <v>0</v>
      </c>
      <c r="BA180" s="19" t="n">
        <v>0</v>
      </c>
      <c r="BB180" s="19" t="n">
        <v>0</v>
      </c>
      <c r="BC180" s="19" t="n">
        <v>0</v>
      </c>
      <c r="BD180" s="20" t="n">
        <f aca="false">SUM(D180:BC180)</f>
        <v>0.23</v>
      </c>
    </row>
    <row r="181" customFormat="false" ht="15" hidden="false" customHeight="false" outlineLevel="0" collapsed="false">
      <c r="A181" s="5" t="s">
        <v>357</v>
      </c>
      <c r="B181" s="5" t="s">
        <v>64</v>
      </c>
      <c r="C181" s="5" t="s">
        <v>179</v>
      </c>
      <c r="D181" s="19" t="n">
        <v>0</v>
      </c>
      <c r="E181" s="19" t="n">
        <v>0</v>
      </c>
      <c r="F181" s="19" t="n">
        <v>0</v>
      </c>
      <c r="G181" s="19" t="n">
        <v>0</v>
      </c>
      <c r="H181" s="19" t="n">
        <v>0</v>
      </c>
      <c r="I181" s="19" t="n">
        <v>0</v>
      </c>
      <c r="J181" s="19" t="n">
        <v>0</v>
      </c>
      <c r="K181" s="19" t="n">
        <v>0</v>
      </c>
      <c r="L181" s="19" t="n">
        <v>0</v>
      </c>
      <c r="M181" s="19" t="n">
        <v>0</v>
      </c>
      <c r="N181" s="19" t="n">
        <v>0</v>
      </c>
      <c r="O181" s="19" t="n">
        <v>0</v>
      </c>
      <c r="P181" s="19" t="n">
        <v>0.07</v>
      </c>
      <c r="Q181" s="19" t="n">
        <v>0.14</v>
      </c>
      <c r="R181" s="19" t="n">
        <v>0.07</v>
      </c>
      <c r="S181" s="19" t="n">
        <v>0</v>
      </c>
      <c r="T181" s="19" t="n">
        <v>0.18</v>
      </c>
      <c r="U181" s="19" t="n">
        <v>0.36</v>
      </c>
      <c r="V181" s="19" t="n">
        <v>0.18</v>
      </c>
      <c r="W181" s="19" t="n">
        <v>0.03</v>
      </c>
      <c r="X181" s="19" t="n">
        <v>0.07</v>
      </c>
      <c r="Y181" s="19" t="n">
        <v>0.03</v>
      </c>
      <c r="Z181" s="19" t="n">
        <v>0</v>
      </c>
      <c r="AA181" s="19" t="n">
        <v>0</v>
      </c>
      <c r="AB181" s="19" t="n">
        <v>0</v>
      </c>
      <c r="AC181" s="19" t="n">
        <v>0</v>
      </c>
      <c r="AD181" s="19" t="n">
        <v>0</v>
      </c>
      <c r="AE181" s="19" t="n">
        <v>0</v>
      </c>
      <c r="AF181" s="19" t="n">
        <v>0</v>
      </c>
      <c r="AG181" s="19" t="n">
        <v>0.1</v>
      </c>
      <c r="AH181" s="19" t="n">
        <v>0.2</v>
      </c>
      <c r="AI181" s="19" t="n">
        <v>0.1</v>
      </c>
      <c r="AJ181" s="19" t="n">
        <v>0</v>
      </c>
      <c r="AK181" s="19" t="n">
        <v>0</v>
      </c>
      <c r="AL181" s="19" t="n">
        <v>0</v>
      </c>
      <c r="AM181" s="19" t="n">
        <v>0</v>
      </c>
      <c r="AN181" s="19" t="n">
        <v>0</v>
      </c>
      <c r="AO181" s="19" t="n">
        <v>0</v>
      </c>
      <c r="AP181" s="19" t="n">
        <v>0</v>
      </c>
      <c r="AQ181" s="19" t="n">
        <v>0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0</v>
      </c>
      <c r="AW181" s="19" t="n">
        <v>0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20" t="n">
        <f aca="false">SUM(D181:BC181)</f>
        <v>1.53</v>
      </c>
    </row>
    <row r="182" customFormat="false" ht="15" hidden="false" customHeight="false" outlineLevel="0" collapsed="false">
      <c r="A182" s="5" t="s">
        <v>358</v>
      </c>
      <c r="B182" s="5" t="s">
        <v>64</v>
      </c>
      <c r="C182" s="5" t="s">
        <v>179</v>
      </c>
      <c r="D182" s="19" t="n">
        <v>0</v>
      </c>
      <c r="E182" s="19" t="n">
        <v>0</v>
      </c>
      <c r="F182" s="19" t="n">
        <v>0</v>
      </c>
      <c r="G182" s="19" t="n">
        <v>0</v>
      </c>
      <c r="H182" s="19" t="n">
        <v>0</v>
      </c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0</v>
      </c>
      <c r="O182" s="19" t="n">
        <v>0</v>
      </c>
      <c r="P182" s="19" t="n">
        <v>0</v>
      </c>
      <c r="Q182" s="19" t="n">
        <v>0</v>
      </c>
      <c r="R182" s="19" t="n">
        <v>0</v>
      </c>
      <c r="S182" s="19" t="n">
        <v>0</v>
      </c>
      <c r="T182" s="19" t="n">
        <v>0</v>
      </c>
      <c r="U182" s="19" t="n">
        <v>0</v>
      </c>
      <c r="V182" s="19" t="n">
        <v>0</v>
      </c>
      <c r="W182" s="19" t="n">
        <v>0</v>
      </c>
      <c r="X182" s="19" t="n">
        <v>0</v>
      </c>
      <c r="Y182" s="19" t="n">
        <v>0</v>
      </c>
      <c r="Z182" s="19" t="n">
        <v>0</v>
      </c>
      <c r="AA182" s="19" t="n">
        <v>0</v>
      </c>
      <c r="AB182" s="19" t="n">
        <v>0</v>
      </c>
      <c r="AC182" s="19" t="n">
        <v>0</v>
      </c>
      <c r="AD182" s="19" t="n">
        <v>0</v>
      </c>
      <c r="AE182" s="19" t="n">
        <v>0</v>
      </c>
      <c r="AF182" s="19" t="n">
        <v>0</v>
      </c>
      <c r="AG182" s="19" t="n">
        <v>0.08</v>
      </c>
      <c r="AH182" s="19" t="n">
        <v>0.17</v>
      </c>
      <c r="AI182" s="19" t="n">
        <v>0.08</v>
      </c>
      <c r="AJ182" s="19" t="n">
        <v>0</v>
      </c>
      <c r="AK182" s="19" t="n">
        <v>0</v>
      </c>
      <c r="AL182" s="19" t="n">
        <v>0</v>
      </c>
      <c r="AM182" s="19" t="n">
        <v>0</v>
      </c>
      <c r="AN182" s="19" t="n">
        <v>0</v>
      </c>
      <c r="AO182" s="19" t="n">
        <v>0</v>
      </c>
      <c r="AP182" s="19" t="n">
        <v>0</v>
      </c>
      <c r="AQ182" s="19" t="n">
        <v>0</v>
      </c>
      <c r="AR182" s="19" t="n">
        <v>0</v>
      </c>
      <c r="AS182" s="19" t="n">
        <v>0</v>
      </c>
      <c r="AT182" s="19" t="n">
        <v>0</v>
      </c>
      <c r="AU182" s="19" t="n">
        <v>0</v>
      </c>
      <c r="AV182" s="19" t="n">
        <v>0</v>
      </c>
      <c r="AW182" s="19" t="n">
        <v>0</v>
      </c>
      <c r="AX182" s="19" t="n">
        <v>0</v>
      </c>
      <c r="AY182" s="19" t="n">
        <v>0</v>
      </c>
      <c r="AZ182" s="19" t="n">
        <v>0</v>
      </c>
      <c r="BA182" s="19" t="n">
        <v>0</v>
      </c>
      <c r="BB182" s="19" t="n">
        <v>0</v>
      </c>
      <c r="BC182" s="19" t="n">
        <v>0</v>
      </c>
      <c r="BD182" s="20" t="n">
        <f aca="false">SUM(D182:BC182)</f>
        <v>0.33</v>
      </c>
    </row>
    <row r="183" customFormat="false" ht="15" hidden="false" customHeight="false" outlineLevel="0" collapsed="false">
      <c r="A183" s="5" t="s">
        <v>359</v>
      </c>
      <c r="B183" s="5" t="s">
        <v>57</v>
      </c>
      <c r="C183" s="5" t="s">
        <v>235</v>
      </c>
      <c r="D183" s="19" t="n">
        <v>0</v>
      </c>
      <c r="E183" s="19" t="n">
        <v>0</v>
      </c>
      <c r="F183" s="19" t="n">
        <v>0</v>
      </c>
      <c r="G183" s="19" t="n">
        <v>0</v>
      </c>
      <c r="H183" s="19" t="n">
        <v>0</v>
      </c>
      <c r="I183" s="19" t="n">
        <v>0</v>
      </c>
      <c r="J183" s="19" t="n">
        <v>0</v>
      </c>
      <c r="K183" s="19" t="n">
        <v>0</v>
      </c>
      <c r="L183" s="19" t="n">
        <v>0</v>
      </c>
      <c r="M183" s="19" t="n">
        <v>0</v>
      </c>
      <c r="N183" s="19" t="n">
        <v>0</v>
      </c>
      <c r="O183" s="19" t="n">
        <v>0</v>
      </c>
      <c r="P183" s="19" t="n">
        <v>0</v>
      </c>
      <c r="Q183" s="19" t="n">
        <v>0</v>
      </c>
      <c r="R183" s="19" t="n">
        <v>0</v>
      </c>
      <c r="S183" s="19" t="n">
        <v>0</v>
      </c>
      <c r="T183" s="19" t="n">
        <v>0</v>
      </c>
      <c r="U183" s="19" t="n">
        <v>0</v>
      </c>
      <c r="V183" s="19" t="n">
        <v>0</v>
      </c>
      <c r="W183" s="19" t="n">
        <v>0</v>
      </c>
      <c r="X183" s="19" t="n">
        <v>0</v>
      </c>
      <c r="Y183" s="19" t="n">
        <v>0</v>
      </c>
      <c r="Z183" s="19" t="n">
        <v>0</v>
      </c>
      <c r="AA183" s="19" t="n">
        <v>0</v>
      </c>
      <c r="AB183" s="19" t="n">
        <v>0</v>
      </c>
      <c r="AC183" s="19" t="n">
        <v>0</v>
      </c>
      <c r="AD183" s="19" t="n">
        <v>0</v>
      </c>
      <c r="AE183" s="19" t="n">
        <v>0</v>
      </c>
      <c r="AF183" s="19" t="n">
        <v>0</v>
      </c>
      <c r="AG183" s="19" t="n">
        <v>0.17</v>
      </c>
      <c r="AH183" s="19" t="n">
        <v>0.33</v>
      </c>
      <c r="AI183" s="19" t="n">
        <v>0.17</v>
      </c>
      <c r="AJ183" s="19" t="n">
        <v>0</v>
      </c>
      <c r="AK183" s="19" t="n">
        <v>0</v>
      </c>
      <c r="AL183" s="19" t="n">
        <v>0</v>
      </c>
      <c r="AM183" s="19" t="n">
        <v>0</v>
      </c>
      <c r="AN183" s="19" t="n">
        <v>0</v>
      </c>
      <c r="AO183" s="19" t="n">
        <v>0</v>
      </c>
      <c r="AP183" s="19" t="n">
        <v>0</v>
      </c>
      <c r="AQ183" s="19" t="n">
        <v>0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0</v>
      </c>
      <c r="AW183" s="19" t="n">
        <v>0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20" t="n">
        <f aca="false">SUM(D183:BC183)</f>
        <v>0.67</v>
      </c>
    </row>
    <row r="184" customFormat="false" ht="15" hidden="false" customHeight="false" outlineLevel="0" collapsed="false">
      <c r="A184" s="5" t="s">
        <v>360</v>
      </c>
      <c r="B184" s="5" t="s">
        <v>63</v>
      </c>
      <c r="C184" s="5" t="s">
        <v>179</v>
      </c>
      <c r="D184" s="19" t="n">
        <v>0</v>
      </c>
      <c r="E184" s="19" t="n">
        <v>0</v>
      </c>
      <c r="F184" s="19" t="n">
        <v>0</v>
      </c>
      <c r="G184" s="19" t="n">
        <v>0</v>
      </c>
      <c r="H184" s="19" t="n">
        <v>0</v>
      </c>
      <c r="I184" s="19" t="n">
        <v>0</v>
      </c>
      <c r="J184" s="19" t="n">
        <v>0</v>
      </c>
      <c r="K184" s="19" t="n">
        <v>0</v>
      </c>
      <c r="L184" s="19" t="n">
        <v>0</v>
      </c>
      <c r="M184" s="19" t="n">
        <v>0</v>
      </c>
      <c r="N184" s="19" t="n">
        <v>0</v>
      </c>
      <c r="O184" s="19" t="n">
        <v>0</v>
      </c>
      <c r="P184" s="19" t="n">
        <v>0.06</v>
      </c>
      <c r="Q184" s="19" t="n">
        <v>0.11</v>
      </c>
      <c r="R184" s="19" t="n">
        <v>0.06</v>
      </c>
      <c r="S184" s="19" t="n">
        <v>0</v>
      </c>
      <c r="T184" s="19" t="n">
        <v>0</v>
      </c>
      <c r="U184" s="19" t="n">
        <v>0</v>
      </c>
      <c r="V184" s="19" t="n">
        <v>0</v>
      </c>
      <c r="W184" s="19" t="n">
        <v>0</v>
      </c>
      <c r="X184" s="19" t="n">
        <v>0</v>
      </c>
      <c r="Y184" s="19" t="n">
        <v>0</v>
      </c>
      <c r="Z184" s="19" t="n">
        <v>0</v>
      </c>
      <c r="AA184" s="19" t="n">
        <v>0</v>
      </c>
      <c r="AB184" s="19" t="n">
        <v>0</v>
      </c>
      <c r="AC184" s="19" t="n">
        <v>0</v>
      </c>
      <c r="AD184" s="19" t="n">
        <v>0</v>
      </c>
      <c r="AE184" s="19" t="n">
        <v>0</v>
      </c>
      <c r="AF184" s="19" t="n">
        <v>0</v>
      </c>
      <c r="AG184" s="19" t="n">
        <v>0</v>
      </c>
      <c r="AH184" s="19" t="n">
        <v>0</v>
      </c>
      <c r="AI184" s="19" t="n">
        <v>0</v>
      </c>
      <c r="AJ184" s="19" t="n">
        <v>0</v>
      </c>
      <c r="AK184" s="19" t="n">
        <v>0</v>
      </c>
      <c r="AL184" s="19" t="n">
        <v>0</v>
      </c>
      <c r="AM184" s="19" t="n">
        <v>0</v>
      </c>
      <c r="AN184" s="19" t="n">
        <v>0</v>
      </c>
      <c r="AO184" s="19" t="n">
        <v>0</v>
      </c>
      <c r="AP184" s="19" t="n">
        <v>0</v>
      </c>
      <c r="AQ184" s="19" t="n">
        <v>0</v>
      </c>
      <c r="AR184" s="19" t="n">
        <v>0</v>
      </c>
      <c r="AS184" s="19" t="n">
        <v>0</v>
      </c>
      <c r="AT184" s="19" t="n">
        <v>0</v>
      </c>
      <c r="AU184" s="19" t="n">
        <v>0</v>
      </c>
      <c r="AV184" s="19" t="n">
        <v>0</v>
      </c>
      <c r="AW184" s="19" t="n">
        <v>0</v>
      </c>
      <c r="AX184" s="19" t="n">
        <v>0</v>
      </c>
      <c r="AY184" s="19" t="n">
        <v>0</v>
      </c>
      <c r="AZ184" s="19" t="n">
        <v>0</v>
      </c>
      <c r="BA184" s="19" t="n">
        <v>0</v>
      </c>
      <c r="BB184" s="19" t="n">
        <v>0</v>
      </c>
      <c r="BC184" s="19" t="n">
        <v>0</v>
      </c>
      <c r="BD184" s="20" t="n">
        <f aca="false">SUM(D184:BC184)</f>
        <v>0.23</v>
      </c>
    </row>
    <row r="185" customFormat="false" ht="15" hidden="false" customHeight="false" outlineLevel="0" collapsed="false">
      <c r="A185" s="5" t="s">
        <v>361</v>
      </c>
      <c r="B185" s="5" t="s">
        <v>63</v>
      </c>
      <c r="C185" s="5" t="s">
        <v>179</v>
      </c>
      <c r="D185" s="19" t="n">
        <v>0</v>
      </c>
      <c r="E185" s="19" t="n">
        <v>0</v>
      </c>
      <c r="F185" s="19" t="n">
        <v>0</v>
      </c>
      <c r="G185" s="19" t="n">
        <v>0</v>
      </c>
      <c r="H185" s="19" t="n">
        <v>0</v>
      </c>
      <c r="I185" s="19" t="n">
        <v>0</v>
      </c>
      <c r="J185" s="19" t="n">
        <v>0</v>
      </c>
      <c r="K185" s="19" t="n">
        <v>0</v>
      </c>
      <c r="L185" s="19" t="n">
        <v>0</v>
      </c>
      <c r="M185" s="19" t="n">
        <v>0</v>
      </c>
      <c r="N185" s="19" t="n">
        <v>0</v>
      </c>
      <c r="O185" s="19" t="n">
        <v>0</v>
      </c>
      <c r="P185" s="19" t="n">
        <v>0</v>
      </c>
      <c r="Q185" s="19" t="n">
        <v>0</v>
      </c>
      <c r="R185" s="19" t="n">
        <v>0</v>
      </c>
      <c r="S185" s="19" t="n">
        <v>0</v>
      </c>
      <c r="T185" s="19" t="n">
        <v>0</v>
      </c>
      <c r="U185" s="19" t="n">
        <v>0</v>
      </c>
      <c r="V185" s="19" t="n">
        <v>0</v>
      </c>
      <c r="W185" s="19" t="n">
        <v>0</v>
      </c>
      <c r="X185" s="19" t="n">
        <v>0</v>
      </c>
      <c r="Y185" s="19" t="n">
        <v>0</v>
      </c>
      <c r="Z185" s="19" t="n">
        <v>0</v>
      </c>
      <c r="AA185" s="19" t="n">
        <v>0</v>
      </c>
      <c r="AB185" s="19" t="n">
        <v>0</v>
      </c>
      <c r="AC185" s="19" t="n">
        <v>0</v>
      </c>
      <c r="AD185" s="19" t="n">
        <v>0</v>
      </c>
      <c r="AE185" s="19" t="n">
        <v>0</v>
      </c>
      <c r="AF185" s="19" t="n">
        <v>0</v>
      </c>
      <c r="AG185" s="19" t="n">
        <v>0</v>
      </c>
      <c r="AH185" s="19" t="n">
        <v>0.08</v>
      </c>
      <c r="AI185" s="19" t="n">
        <v>0.17</v>
      </c>
      <c r="AJ185" s="19" t="n">
        <v>0.08</v>
      </c>
      <c r="AK185" s="19" t="n">
        <v>0.05</v>
      </c>
      <c r="AL185" s="19" t="n">
        <v>0.1</v>
      </c>
      <c r="AM185" s="19" t="n">
        <v>0.05</v>
      </c>
      <c r="AN185" s="19" t="n">
        <v>0</v>
      </c>
      <c r="AO185" s="19" t="n">
        <v>0</v>
      </c>
      <c r="AP185" s="19" t="n">
        <v>0</v>
      </c>
      <c r="AQ185" s="19" t="n">
        <v>0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0</v>
      </c>
      <c r="AW185" s="19" t="n">
        <v>0</v>
      </c>
      <c r="AX185" s="19" t="n">
        <v>0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20" t="n">
        <f aca="false">SUM(D185:BC185)</f>
        <v>0.53</v>
      </c>
    </row>
    <row r="186" customFormat="false" ht="15" hidden="false" customHeight="false" outlineLevel="0" collapsed="false">
      <c r="A186" s="5" t="s">
        <v>362</v>
      </c>
      <c r="B186" s="5" t="s">
        <v>63</v>
      </c>
      <c r="C186" s="5" t="s">
        <v>179</v>
      </c>
      <c r="D186" s="19" t="n">
        <v>0</v>
      </c>
      <c r="E186" s="19" t="n">
        <v>0</v>
      </c>
      <c r="F186" s="19" t="n">
        <v>0</v>
      </c>
      <c r="G186" s="19" t="n">
        <v>0</v>
      </c>
      <c r="H186" s="19" t="n">
        <v>0</v>
      </c>
      <c r="I186" s="19" t="n">
        <v>0</v>
      </c>
      <c r="J186" s="19" t="n">
        <v>0</v>
      </c>
      <c r="K186" s="19" t="n">
        <v>0</v>
      </c>
      <c r="L186" s="19" t="n">
        <v>0</v>
      </c>
      <c r="M186" s="19" t="n">
        <v>0</v>
      </c>
      <c r="N186" s="19" t="n">
        <v>0</v>
      </c>
      <c r="O186" s="19" t="n">
        <v>0</v>
      </c>
      <c r="P186" s="19" t="n">
        <v>0</v>
      </c>
      <c r="Q186" s="19" t="n">
        <v>0</v>
      </c>
      <c r="R186" s="19" t="n">
        <v>0</v>
      </c>
      <c r="S186" s="19" t="n">
        <v>0.02</v>
      </c>
      <c r="T186" s="19" t="n">
        <v>0.05</v>
      </c>
      <c r="U186" s="19" t="n">
        <v>0.02</v>
      </c>
      <c r="V186" s="19" t="n">
        <v>0.08</v>
      </c>
      <c r="W186" s="19" t="n">
        <v>0.16</v>
      </c>
      <c r="X186" s="19" t="n">
        <v>0.08</v>
      </c>
      <c r="Y186" s="19" t="n">
        <v>0</v>
      </c>
      <c r="Z186" s="19" t="n">
        <v>0</v>
      </c>
      <c r="AA186" s="19" t="n">
        <v>0</v>
      </c>
      <c r="AB186" s="19" t="n">
        <v>0</v>
      </c>
      <c r="AC186" s="19" t="n">
        <v>0</v>
      </c>
      <c r="AD186" s="19" t="n">
        <v>0</v>
      </c>
      <c r="AE186" s="19" t="n">
        <v>0</v>
      </c>
      <c r="AF186" s="19" t="n">
        <v>0</v>
      </c>
      <c r="AG186" s="19" t="n">
        <v>0</v>
      </c>
      <c r="AH186" s="19" t="n">
        <v>0</v>
      </c>
      <c r="AI186" s="19" t="n">
        <v>0</v>
      </c>
      <c r="AJ186" s="19" t="n">
        <v>0</v>
      </c>
      <c r="AK186" s="19" t="n">
        <v>0</v>
      </c>
      <c r="AL186" s="19" t="n">
        <v>0</v>
      </c>
      <c r="AM186" s="19" t="n">
        <v>0</v>
      </c>
      <c r="AN186" s="19" t="n">
        <v>0</v>
      </c>
      <c r="AO186" s="19" t="n">
        <v>0.05</v>
      </c>
      <c r="AP186" s="19" t="n">
        <v>0.1</v>
      </c>
      <c r="AQ186" s="19" t="n">
        <v>0.05</v>
      </c>
      <c r="AR186" s="19" t="n">
        <v>0</v>
      </c>
      <c r="AS186" s="19" t="n">
        <v>0</v>
      </c>
      <c r="AT186" s="19" t="n">
        <v>0</v>
      </c>
      <c r="AU186" s="19" t="n">
        <v>0</v>
      </c>
      <c r="AV186" s="19" t="n">
        <v>0</v>
      </c>
      <c r="AW186" s="19" t="n">
        <v>0</v>
      </c>
      <c r="AX186" s="19" t="n">
        <v>0</v>
      </c>
      <c r="AY186" s="19" t="n">
        <v>0</v>
      </c>
      <c r="AZ186" s="19" t="n">
        <v>0</v>
      </c>
      <c r="BA186" s="19" t="n">
        <v>0</v>
      </c>
      <c r="BB186" s="19" t="n">
        <v>0</v>
      </c>
      <c r="BC186" s="19" t="n">
        <v>0</v>
      </c>
      <c r="BD186" s="20" t="n">
        <f aca="false">SUM(D186:BC186)</f>
        <v>0.61</v>
      </c>
    </row>
    <row r="187" customFormat="false" ht="15" hidden="false" customHeight="false" outlineLevel="0" collapsed="false">
      <c r="A187" s="5" t="s">
        <v>363</v>
      </c>
      <c r="B187" s="5" t="s">
        <v>51</v>
      </c>
      <c r="C187" s="5" t="s">
        <v>179</v>
      </c>
      <c r="D187" s="19" t="n">
        <v>0</v>
      </c>
      <c r="E187" s="19" t="n">
        <v>0</v>
      </c>
      <c r="F187" s="19" t="n">
        <v>0</v>
      </c>
      <c r="G187" s="19" t="n">
        <v>0</v>
      </c>
      <c r="H187" s="19" t="n">
        <v>0</v>
      </c>
      <c r="I187" s="19" t="n">
        <v>0.06</v>
      </c>
      <c r="J187" s="19" t="n">
        <v>0.11</v>
      </c>
      <c r="K187" s="19" t="n">
        <v>0.06</v>
      </c>
      <c r="L187" s="19" t="n">
        <v>0</v>
      </c>
      <c r="M187" s="19" t="n">
        <v>0</v>
      </c>
      <c r="N187" s="19" t="n">
        <v>0</v>
      </c>
      <c r="O187" s="19" t="n">
        <v>0</v>
      </c>
      <c r="P187" s="19" t="n">
        <v>0</v>
      </c>
      <c r="Q187" s="19" t="n">
        <v>0</v>
      </c>
      <c r="R187" s="19" t="n">
        <v>0</v>
      </c>
      <c r="S187" s="19" t="n">
        <v>0</v>
      </c>
      <c r="T187" s="19" t="n">
        <v>0</v>
      </c>
      <c r="U187" s="19" t="n">
        <v>0</v>
      </c>
      <c r="V187" s="19" t="n">
        <v>0</v>
      </c>
      <c r="W187" s="19" t="n">
        <v>0</v>
      </c>
      <c r="X187" s="19" t="n">
        <v>0</v>
      </c>
      <c r="Y187" s="19" t="n">
        <v>0</v>
      </c>
      <c r="Z187" s="19" t="n">
        <v>0</v>
      </c>
      <c r="AA187" s="19" t="n">
        <v>0</v>
      </c>
      <c r="AB187" s="19" t="n">
        <v>0</v>
      </c>
      <c r="AC187" s="19" t="n">
        <v>0</v>
      </c>
      <c r="AD187" s="19" t="n">
        <v>0</v>
      </c>
      <c r="AE187" s="19" t="n">
        <v>0</v>
      </c>
      <c r="AF187" s="19" t="n">
        <v>0</v>
      </c>
      <c r="AG187" s="19" t="n">
        <v>0</v>
      </c>
      <c r="AH187" s="19" t="n">
        <v>0</v>
      </c>
      <c r="AI187" s="19" t="n">
        <v>0</v>
      </c>
      <c r="AJ187" s="19" t="n">
        <v>0</v>
      </c>
      <c r="AK187" s="19" t="n">
        <v>0</v>
      </c>
      <c r="AL187" s="19" t="n">
        <v>0</v>
      </c>
      <c r="AM187" s="19" t="n">
        <v>0</v>
      </c>
      <c r="AN187" s="19" t="n">
        <v>0</v>
      </c>
      <c r="AO187" s="19" t="n">
        <v>0</v>
      </c>
      <c r="AP187" s="19" t="n">
        <v>0</v>
      </c>
      <c r="AQ187" s="19" t="n">
        <v>0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0</v>
      </c>
      <c r="AX187" s="19" t="n">
        <v>0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20" t="n">
        <f aca="false">SUM(D187:BC187)</f>
        <v>0.23</v>
      </c>
    </row>
    <row r="188" customFormat="false" ht="15" hidden="false" customHeight="false" outlineLevel="0" collapsed="false">
      <c r="A188" s="5" t="s">
        <v>364</v>
      </c>
      <c r="B188" s="5" t="s">
        <v>63</v>
      </c>
      <c r="C188" s="5" t="s">
        <v>179</v>
      </c>
      <c r="D188" s="19" t="n">
        <v>0</v>
      </c>
      <c r="E188" s="19" t="n">
        <v>0</v>
      </c>
      <c r="F188" s="19" t="n">
        <v>0</v>
      </c>
      <c r="G188" s="19" t="n">
        <v>0</v>
      </c>
      <c r="H188" s="19" t="n">
        <v>0</v>
      </c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0</v>
      </c>
      <c r="O188" s="19" t="n">
        <v>0</v>
      </c>
      <c r="P188" s="19" t="n">
        <v>0</v>
      </c>
      <c r="Q188" s="19" t="n">
        <v>0</v>
      </c>
      <c r="R188" s="19" t="n">
        <v>0</v>
      </c>
      <c r="S188" s="19" t="n">
        <v>0</v>
      </c>
      <c r="T188" s="19" t="n">
        <v>0</v>
      </c>
      <c r="U188" s="19" t="n">
        <v>0</v>
      </c>
      <c r="V188" s="19" t="n">
        <v>0</v>
      </c>
      <c r="W188" s="19" t="n">
        <v>0.18</v>
      </c>
      <c r="X188" s="19" t="n">
        <v>0.36</v>
      </c>
      <c r="Y188" s="19" t="n">
        <v>0.18</v>
      </c>
      <c r="Z188" s="19" t="n">
        <v>0</v>
      </c>
      <c r="AA188" s="19" t="n">
        <v>0</v>
      </c>
      <c r="AB188" s="19" t="n">
        <v>0</v>
      </c>
      <c r="AC188" s="19" t="n">
        <v>0</v>
      </c>
      <c r="AD188" s="19" t="n">
        <v>0</v>
      </c>
      <c r="AE188" s="19" t="n">
        <v>0</v>
      </c>
      <c r="AF188" s="19" t="n">
        <v>0</v>
      </c>
      <c r="AG188" s="19" t="n">
        <v>0</v>
      </c>
      <c r="AH188" s="19" t="n">
        <v>0</v>
      </c>
      <c r="AI188" s="19" t="n">
        <v>0</v>
      </c>
      <c r="AJ188" s="19" t="n">
        <v>0</v>
      </c>
      <c r="AK188" s="19" t="n">
        <v>0</v>
      </c>
      <c r="AL188" s="19" t="n">
        <v>0</v>
      </c>
      <c r="AM188" s="19" t="n">
        <v>0</v>
      </c>
      <c r="AN188" s="19" t="n">
        <v>0</v>
      </c>
      <c r="AO188" s="19" t="n">
        <v>0</v>
      </c>
      <c r="AP188" s="19" t="n">
        <v>0</v>
      </c>
      <c r="AQ188" s="19" t="n">
        <v>0</v>
      </c>
      <c r="AR188" s="19" t="n">
        <v>0</v>
      </c>
      <c r="AS188" s="19" t="n">
        <v>0</v>
      </c>
      <c r="AT188" s="19" t="n">
        <v>0</v>
      </c>
      <c r="AU188" s="19" t="n">
        <v>0</v>
      </c>
      <c r="AV188" s="19" t="n">
        <v>0</v>
      </c>
      <c r="AW188" s="19" t="n">
        <v>0</v>
      </c>
      <c r="AX188" s="19" t="n">
        <v>0</v>
      </c>
      <c r="AY188" s="19" t="n">
        <v>0</v>
      </c>
      <c r="AZ188" s="19" t="n">
        <v>0</v>
      </c>
      <c r="BA188" s="19" t="n">
        <v>0</v>
      </c>
      <c r="BB188" s="19" t="n">
        <v>0</v>
      </c>
      <c r="BC188" s="19" t="n">
        <v>0</v>
      </c>
      <c r="BD188" s="20" t="n">
        <f aca="false">SUM(D188:BC188)</f>
        <v>0.72</v>
      </c>
    </row>
    <row r="189" customFormat="false" ht="15" hidden="false" customHeight="false" outlineLevel="0" collapsed="false">
      <c r="A189" s="5" t="s">
        <v>365</v>
      </c>
      <c r="B189" s="5" t="s">
        <v>64</v>
      </c>
      <c r="C189" s="5" t="s">
        <v>179</v>
      </c>
      <c r="D189" s="19" t="n">
        <v>0</v>
      </c>
      <c r="E189" s="19" t="n">
        <v>0</v>
      </c>
      <c r="F189" s="19" t="n">
        <v>0</v>
      </c>
      <c r="G189" s="19" t="n">
        <v>0</v>
      </c>
      <c r="H189" s="19" t="n">
        <v>0</v>
      </c>
      <c r="I189" s="19" t="n">
        <v>0</v>
      </c>
      <c r="J189" s="19" t="n">
        <v>0</v>
      </c>
      <c r="K189" s="19" t="n">
        <v>0</v>
      </c>
      <c r="L189" s="19" t="n">
        <v>0</v>
      </c>
      <c r="M189" s="19" t="n">
        <v>0</v>
      </c>
      <c r="N189" s="19" t="n">
        <v>0</v>
      </c>
      <c r="O189" s="19" t="n">
        <v>0</v>
      </c>
      <c r="P189" s="19" t="n">
        <v>0</v>
      </c>
      <c r="Q189" s="19" t="n">
        <v>0</v>
      </c>
      <c r="R189" s="19" t="n">
        <v>0</v>
      </c>
      <c r="S189" s="19" t="n">
        <v>0</v>
      </c>
      <c r="T189" s="19" t="n">
        <v>0.02</v>
      </c>
      <c r="U189" s="19" t="n">
        <v>0.05</v>
      </c>
      <c r="V189" s="19" t="n">
        <v>0.02</v>
      </c>
      <c r="W189" s="19" t="n">
        <v>0</v>
      </c>
      <c r="X189" s="19" t="n">
        <v>0</v>
      </c>
      <c r="Y189" s="19" t="n">
        <v>0</v>
      </c>
      <c r="Z189" s="19" t="n">
        <v>0.06</v>
      </c>
      <c r="AA189" s="19" t="n">
        <v>0.11</v>
      </c>
      <c r="AB189" s="19" t="n">
        <v>0.06</v>
      </c>
      <c r="AC189" s="19" t="n">
        <v>0</v>
      </c>
      <c r="AD189" s="19" t="n">
        <v>0</v>
      </c>
      <c r="AE189" s="19" t="n">
        <v>0</v>
      </c>
      <c r="AF189" s="19" t="n">
        <v>0</v>
      </c>
      <c r="AG189" s="19" t="n">
        <v>0</v>
      </c>
      <c r="AH189" s="19" t="n">
        <v>0</v>
      </c>
      <c r="AI189" s="19" t="n">
        <v>0</v>
      </c>
      <c r="AJ189" s="19" t="n">
        <v>0</v>
      </c>
      <c r="AK189" s="19" t="n">
        <v>0</v>
      </c>
      <c r="AL189" s="19" t="n">
        <v>0</v>
      </c>
      <c r="AM189" s="19" t="n">
        <v>0</v>
      </c>
      <c r="AN189" s="19" t="n">
        <v>0</v>
      </c>
      <c r="AO189" s="19" t="n">
        <v>0</v>
      </c>
      <c r="AP189" s="19" t="n">
        <v>0</v>
      </c>
      <c r="AQ189" s="19" t="n">
        <v>0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0</v>
      </c>
      <c r="AX189" s="19" t="n">
        <v>0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20" t="n">
        <f aca="false">SUM(D189:BC189)</f>
        <v>0.32</v>
      </c>
    </row>
    <row r="190" customFormat="false" ht="15" hidden="false" customHeight="false" outlineLevel="0" collapsed="false">
      <c r="A190" s="5" t="s">
        <v>366</v>
      </c>
      <c r="B190" s="5" t="s">
        <v>45</v>
      </c>
      <c r="C190" s="5" t="s">
        <v>179</v>
      </c>
      <c r="D190" s="19" t="n">
        <v>0</v>
      </c>
      <c r="E190" s="19" t="n">
        <v>0</v>
      </c>
      <c r="F190" s="19" t="n">
        <v>0</v>
      </c>
      <c r="G190" s="19" t="n">
        <v>0</v>
      </c>
      <c r="H190" s="19" t="n">
        <v>0</v>
      </c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0</v>
      </c>
      <c r="O190" s="19" t="n">
        <v>0</v>
      </c>
      <c r="P190" s="19" t="n">
        <v>0</v>
      </c>
      <c r="Q190" s="19" t="n">
        <v>0</v>
      </c>
      <c r="R190" s="19" t="n">
        <v>0</v>
      </c>
      <c r="S190" s="19" t="n">
        <v>0</v>
      </c>
      <c r="T190" s="19" t="n">
        <v>0</v>
      </c>
      <c r="U190" s="19" t="n">
        <v>0</v>
      </c>
      <c r="V190" s="19" t="n">
        <v>0.08</v>
      </c>
      <c r="W190" s="19" t="n">
        <v>0.16</v>
      </c>
      <c r="X190" s="19" t="n">
        <v>0.08</v>
      </c>
      <c r="Y190" s="19" t="n">
        <v>0</v>
      </c>
      <c r="Z190" s="19" t="n">
        <v>0</v>
      </c>
      <c r="AA190" s="19" t="n">
        <v>0</v>
      </c>
      <c r="AB190" s="19" t="n">
        <v>0.08</v>
      </c>
      <c r="AC190" s="19" t="n">
        <v>0.16</v>
      </c>
      <c r="AD190" s="19" t="n">
        <v>0.08</v>
      </c>
      <c r="AE190" s="19" t="n">
        <v>0</v>
      </c>
      <c r="AF190" s="19" t="n">
        <v>0</v>
      </c>
      <c r="AG190" s="19" t="n">
        <v>0</v>
      </c>
      <c r="AH190" s="19" t="n">
        <v>0</v>
      </c>
      <c r="AI190" s="19" t="n">
        <v>0.08</v>
      </c>
      <c r="AJ190" s="19" t="n">
        <v>0.17</v>
      </c>
      <c r="AK190" s="19" t="n">
        <v>0.08</v>
      </c>
      <c r="AL190" s="19" t="n">
        <v>0</v>
      </c>
      <c r="AM190" s="19" t="n">
        <v>0</v>
      </c>
      <c r="AN190" s="19" t="n">
        <v>0</v>
      </c>
      <c r="AO190" s="19" t="n">
        <v>0</v>
      </c>
      <c r="AP190" s="19" t="n">
        <v>0</v>
      </c>
      <c r="AQ190" s="19" t="n">
        <v>0</v>
      </c>
      <c r="AR190" s="19" t="n">
        <v>0</v>
      </c>
      <c r="AS190" s="19" t="n">
        <v>0</v>
      </c>
      <c r="AT190" s="19" t="n">
        <v>0</v>
      </c>
      <c r="AU190" s="19" t="n">
        <v>0</v>
      </c>
      <c r="AV190" s="19" t="n">
        <v>0</v>
      </c>
      <c r="AW190" s="19" t="n">
        <v>0</v>
      </c>
      <c r="AX190" s="19" t="n">
        <v>0</v>
      </c>
      <c r="AY190" s="19" t="n">
        <v>0</v>
      </c>
      <c r="AZ190" s="19" t="n">
        <v>0</v>
      </c>
      <c r="BA190" s="19" t="n">
        <v>0</v>
      </c>
      <c r="BB190" s="19" t="n">
        <v>0</v>
      </c>
      <c r="BC190" s="19" t="n">
        <v>0</v>
      </c>
      <c r="BD190" s="20" t="n">
        <f aca="false">SUM(D190:BC190)</f>
        <v>0.97</v>
      </c>
    </row>
    <row r="191" customFormat="false" ht="15" hidden="false" customHeight="false" outlineLevel="0" collapsed="false">
      <c r="A191" s="5" t="s">
        <v>367</v>
      </c>
      <c r="B191" s="5" t="s">
        <v>63</v>
      </c>
      <c r="C191" s="5" t="s">
        <v>179</v>
      </c>
      <c r="D191" s="19" t="n">
        <v>0</v>
      </c>
      <c r="E191" s="19" t="n">
        <v>0</v>
      </c>
      <c r="F191" s="19" t="n">
        <v>0</v>
      </c>
      <c r="G191" s="19" t="n">
        <v>0</v>
      </c>
      <c r="H191" s="19" t="n">
        <v>0</v>
      </c>
      <c r="I191" s="19" t="n">
        <v>0</v>
      </c>
      <c r="J191" s="19" t="n">
        <v>0</v>
      </c>
      <c r="K191" s="19" t="n">
        <v>0</v>
      </c>
      <c r="L191" s="19" t="n">
        <v>0</v>
      </c>
      <c r="M191" s="19" t="n">
        <v>0</v>
      </c>
      <c r="N191" s="19" t="n">
        <v>0</v>
      </c>
      <c r="O191" s="19" t="n">
        <v>0</v>
      </c>
      <c r="P191" s="19" t="n">
        <v>0</v>
      </c>
      <c r="Q191" s="19" t="n">
        <v>0</v>
      </c>
      <c r="R191" s="19" t="n">
        <v>0</v>
      </c>
      <c r="S191" s="19" t="n">
        <v>0</v>
      </c>
      <c r="T191" s="19" t="n">
        <v>0</v>
      </c>
      <c r="U191" s="19" t="n">
        <v>0</v>
      </c>
      <c r="V191" s="19" t="n">
        <v>0</v>
      </c>
      <c r="W191" s="19" t="n">
        <v>0</v>
      </c>
      <c r="X191" s="19" t="n">
        <v>0</v>
      </c>
      <c r="Y191" s="19" t="n">
        <v>0</v>
      </c>
      <c r="Z191" s="19" t="n">
        <v>0</v>
      </c>
      <c r="AA191" s="19" t="n">
        <v>0</v>
      </c>
      <c r="AB191" s="19" t="n">
        <v>0</v>
      </c>
      <c r="AC191" s="19" t="n">
        <v>0</v>
      </c>
      <c r="AD191" s="19" t="n">
        <v>0</v>
      </c>
      <c r="AE191" s="19" t="n">
        <v>0</v>
      </c>
      <c r="AF191" s="19" t="n">
        <v>0</v>
      </c>
      <c r="AG191" s="19" t="n">
        <v>0.08</v>
      </c>
      <c r="AH191" s="19" t="n">
        <v>0.17</v>
      </c>
      <c r="AI191" s="19" t="n">
        <v>0.08</v>
      </c>
      <c r="AJ191" s="19" t="n">
        <v>0</v>
      </c>
      <c r="AK191" s="19" t="n">
        <v>0</v>
      </c>
      <c r="AL191" s="19" t="n">
        <v>0</v>
      </c>
      <c r="AM191" s="19" t="n">
        <v>0</v>
      </c>
      <c r="AN191" s="19" t="n">
        <v>0</v>
      </c>
      <c r="AO191" s="19" t="n">
        <v>0</v>
      </c>
      <c r="AP191" s="19" t="n">
        <v>0</v>
      </c>
      <c r="AQ191" s="19" t="n">
        <v>0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0</v>
      </c>
      <c r="AX191" s="19" t="n">
        <v>0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20" t="n">
        <f aca="false">SUM(D191:BC191)</f>
        <v>0.33</v>
      </c>
    </row>
    <row r="192" customFormat="false" ht="15" hidden="false" customHeight="false" outlineLevel="0" collapsed="false">
      <c r="A192" s="5" t="s">
        <v>368</v>
      </c>
      <c r="B192" s="5" t="s">
        <v>64</v>
      </c>
      <c r="C192" s="5" t="s">
        <v>179</v>
      </c>
      <c r="D192" s="19" t="n">
        <v>0</v>
      </c>
      <c r="E192" s="19" t="n">
        <v>0</v>
      </c>
      <c r="F192" s="19" t="n">
        <v>0</v>
      </c>
      <c r="G192" s="19" t="n">
        <v>0</v>
      </c>
      <c r="H192" s="19" t="n">
        <v>0</v>
      </c>
      <c r="I192" s="19" t="n">
        <v>0</v>
      </c>
      <c r="J192" s="19" t="n">
        <v>0</v>
      </c>
      <c r="K192" s="19" t="n">
        <v>0</v>
      </c>
      <c r="L192" s="19" t="n">
        <v>0</v>
      </c>
      <c r="M192" s="19" t="n">
        <v>0</v>
      </c>
      <c r="N192" s="19" t="n">
        <v>0</v>
      </c>
      <c r="O192" s="19" t="n">
        <v>0</v>
      </c>
      <c r="P192" s="19" t="n">
        <v>0</v>
      </c>
      <c r="Q192" s="19" t="n">
        <v>0</v>
      </c>
      <c r="R192" s="19" t="n">
        <v>0</v>
      </c>
      <c r="S192" s="19" t="n">
        <v>0</v>
      </c>
      <c r="T192" s="19" t="n">
        <v>0.09</v>
      </c>
      <c r="U192" s="19" t="n">
        <v>0.18</v>
      </c>
      <c r="V192" s="19" t="n">
        <v>0.09</v>
      </c>
      <c r="W192" s="19" t="n">
        <v>0</v>
      </c>
      <c r="X192" s="19" t="n">
        <v>0</v>
      </c>
      <c r="Y192" s="19" t="n">
        <v>0</v>
      </c>
      <c r="Z192" s="19" t="n">
        <v>0</v>
      </c>
      <c r="AA192" s="19" t="n">
        <v>0</v>
      </c>
      <c r="AB192" s="19" t="n">
        <v>0.17</v>
      </c>
      <c r="AC192" s="19" t="n">
        <v>0.34</v>
      </c>
      <c r="AD192" s="19" t="n">
        <v>0.17</v>
      </c>
      <c r="AE192" s="19" t="n">
        <v>0</v>
      </c>
      <c r="AF192" s="19" t="n">
        <v>0</v>
      </c>
      <c r="AG192" s="19" t="n">
        <v>0</v>
      </c>
      <c r="AH192" s="19" t="n">
        <v>0</v>
      </c>
      <c r="AI192" s="19" t="n">
        <v>0</v>
      </c>
      <c r="AJ192" s="19" t="n">
        <v>0</v>
      </c>
      <c r="AK192" s="19" t="n">
        <v>0</v>
      </c>
      <c r="AL192" s="19" t="n">
        <v>0</v>
      </c>
      <c r="AM192" s="19" t="n">
        <v>0</v>
      </c>
      <c r="AN192" s="19" t="n">
        <v>0</v>
      </c>
      <c r="AO192" s="19" t="n">
        <v>0</v>
      </c>
      <c r="AP192" s="19" t="n">
        <v>0</v>
      </c>
      <c r="AQ192" s="19" t="n">
        <v>0</v>
      </c>
      <c r="AR192" s="19" t="n">
        <v>0</v>
      </c>
      <c r="AS192" s="19" t="n">
        <v>0</v>
      </c>
      <c r="AT192" s="19" t="n">
        <v>0</v>
      </c>
      <c r="AU192" s="19" t="n">
        <v>0</v>
      </c>
      <c r="AV192" s="19" t="n">
        <v>0</v>
      </c>
      <c r="AW192" s="19" t="n">
        <v>0</v>
      </c>
      <c r="AX192" s="19" t="n">
        <v>0</v>
      </c>
      <c r="AY192" s="19" t="n">
        <v>0</v>
      </c>
      <c r="AZ192" s="19" t="n">
        <v>0</v>
      </c>
      <c r="BA192" s="19" t="n">
        <v>0</v>
      </c>
      <c r="BB192" s="19" t="n">
        <v>0</v>
      </c>
      <c r="BC192" s="19" t="n">
        <v>0</v>
      </c>
      <c r="BD192" s="20" t="n">
        <f aca="false">SUM(D192:BC192)</f>
        <v>1.04</v>
      </c>
    </row>
    <row r="193" customFormat="false" ht="15" hidden="false" customHeight="false" outlineLevel="0" collapsed="false">
      <c r="A193" s="5" t="s">
        <v>369</v>
      </c>
      <c r="B193" s="5" t="s">
        <v>69</v>
      </c>
      <c r="C193" s="5" t="s">
        <v>179</v>
      </c>
      <c r="D193" s="19" t="n">
        <v>0</v>
      </c>
      <c r="E193" s="19" t="n">
        <v>0</v>
      </c>
      <c r="F193" s="19" t="n">
        <v>0</v>
      </c>
      <c r="G193" s="19" t="n">
        <v>0</v>
      </c>
      <c r="H193" s="19" t="n">
        <v>0</v>
      </c>
      <c r="I193" s="19" t="n">
        <v>0</v>
      </c>
      <c r="J193" s="19" t="n">
        <v>0</v>
      </c>
      <c r="K193" s="19" t="n">
        <v>0</v>
      </c>
      <c r="L193" s="19" t="n">
        <v>0</v>
      </c>
      <c r="M193" s="19" t="n">
        <v>0</v>
      </c>
      <c r="N193" s="19" t="n">
        <v>0</v>
      </c>
      <c r="O193" s="19" t="n">
        <v>0</v>
      </c>
      <c r="P193" s="19" t="n">
        <v>0</v>
      </c>
      <c r="Q193" s="19" t="n">
        <v>0</v>
      </c>
      <c r="R193" s="19" t="n">
        <v>0</v>
      </c>
      <c r="S193" s="19" t="n">
        <v>0</v>
      </c>
      <c r="T193" s="19" t="n">
        <v>0</v>
      </c>
      <c r="U193" s="19" t="n">
        <v>0</v>
      </c>
      <c r="V193" s="19" t="n">
        <v>0</v>
      </c>
      <c r="W193" s="19" t="n">
        <v>0</v>
      </c>
      <c r="X193" s="19" t="n">
        <v>0</v>
      </c>
      <c r="Y193" s="19" t="n">
        <v>0</v>
      </c>
      <c r="Z193" s="19" t="n">
        <v>0</v>
      </c>
      <c r="AA193" s="19" t="n">
        <v>0</v>
      </c>
      <c r="AB193" s="19" t="n">
        <v>0</v>
      </c>
      <c r="AC193" s="19" t="n">
        <v>0</v>
      </c>
      <c r="AD193" s="19" t="n">
        <v>0</v>
      </c>
      <c r="AE193" s="19" t="n">
        <v>0</v>
      </c>
      <c r="AF193" s="19" t="n">
        <v>0</v>
      </c>
      <c r="AG193" s="19" t="n">
        <v>0</v>
      </c>
      <c r="AH193" s="19" t="n">
        <v>0.08</v>
      </c>
      <c r="AI193" s="19" t="n">
        <v>0.17</v>
      </c>
      <c r="AJ193" s="19" t="n">
        <v>0.08</v>
      </c>
      <c r="AK193" s="19" t="n">
        <v>0</v>
      </c>
      <c r="AL193" s="19" t="n">
        <v>0</v>
      </c>
      <c r="AM193" s="19" t="n">
        <v>0</v>
      </c>
      <c r="AN193" s="19" t="n">
        <v>0</v>
      </c>
      <c r="AO193" s="19" t="n">
        <v>0</v>
      </c>
      <c r="AP193" s="19" t="n">
        <v>0</v>
      </c>
      <c r="AQ193" s="19" t="n">
        <v>0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0</v>
      </c>
      <c r="AX193" s="19" t="n">
        <v>0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20" t="n">
        <f aca="false">SUM(D193:BC193)</f>
        <v>0.33</v>
      </c>
    </row>
    <row r="194" customFormat="false" ht="15" hidden="false" customHeight="false" outlineLevel="0" collapsed="false">
      <c r="A194" s="5" t="s">
        <v>370</v>
      </c>
      <c r="B194" s="5" t="s">
        <v>64</v>
      </c>
      <c r="C194" s="5" t="s">
        <v>179</v>
      </c>
      <c r="D194" s="19" t="n">
        <v>0</v>
      </c>
      <c r="E194" s="19" t="n">
        <v>0</v>
      </c>
      <c r="F194" s="19" t="n">
        <v>0</v>
      </c>
      <c r="G194" s="19" t="n">
        <v>0</v>
      </c>
      <c r="H194" s="19" t="n">
        <v>0</v>
      </c>
      <c r="I194" s="19" t="n">
        <v>0</v>
      </c>
      <c r="J194" s="19" t="n">
        <v>0</v>
      </c>
      <c r="K194" s="19" t="n">
        <v>0</v>
      </c>
      <c r="L194" s="19" t="n">
        <v>0</v>
      </c>
      <c r="M194" s="19" t="n">
        <v>0</v>
      </c>
      <c r="N194" s="19" t="n">
        <v>0</v>
      </c>
      <c r="O194" s="19" t="n">
        <v>0</v>
      </c>
      <c r="P194" s="19" t="n">
        <v>0</v>
      </c>
      <c r="Q194" s="19" t="n">
        <v>0</v>
      </c>
      <c r="R194" s="19" t="n">
        <v>0</v>
      </c>
      <c r="S194" s="19" t="n">
        <v>0</v>
      </c>
      <c r="T194" s="19" t="n">
        <v>0</v>
      </c>
      <c r="U194" s="19" t="n">
        <v>0</v>
      </c>
      <c r="V194" s="19" t="n">
        <v>0</v>
      </c>
      <c r="W194" s="19" t="n">
        <v>0</v>
      </c>
      <c r="X194" s="19" t="n">
        <v>0.06</v>
      </c>
      <c r="Y194" s="19" t="n">
        <v>0.11</v>
      </c>
      <c r="Z194" s="19" t="n">
        <v>0.06</v>
      </c>
      <c r="AA194" s="19" t="n">
        <v>0</v>
      </c>
      <c r="AB194" s="19" t="n">
        <v>0</v>
      </c>
      <c r="AC194" s="19" t="n">
        <v>0</v>
      </c>
      <c r="AD194" s="19" t="n">
        <v>0</v>
      </c>
      <c r="AE194" s="19" t="n">
        <v>0</v>
      </c>
      <c r="AF194" s="19" t="n">
        <v>0.08</v>
      </c>
      <c r="AG194" s="19" t="n">
        <v>0.17</v>
      </c>
      <c r="AH194" s="19" t="n">
        <v>0.08</v>
      </c>
      <c r="AI194" s="19" t="n">
        <v>0</v>
      </c>
      <c r="AJ194" s="19" t="n">
        <v>0</v>
      </c>
      <c r="AK194" s="19" t="n">
        <v>0</v>
      </c>
      <c r="AL194" s="19" t="n">
        <v>0</v>
      </c>
      <c r="AM194" s="19" t="n">
        <v>0</v>
      </c>
      <c r="AN194" s="19" t="n">
        <v>0</v>
      </c>
      <c r="AO194" s="19" t="n">
        <v>0</v>
      </c>
      <c r="AP194" s="19" t="n">
        <v>0</v>
      </c>
      <c r="AQ194" s="19" t="n">
        <v>0</v>
      </c>
      <c r="AR194" s="19" t="n">
        <v>0</v>
      </c>
      <c r="AS194" s="19" t="n">
        <v>0</v>
      </c>
      <c r="AT194" s="19" t="n">
        <v>0</v>
      </c>
      <c r="AU194" s="19" t="n">
        <v>0</v>
      </c>
      <c r="AV194" s="19" t="n">
        <v>0</v>
      </c>
      <c r="AW194" s="19" t="n">
        <v>0</v>
      </c>
      <c r="AX194" s="19" t="n">
        <v>0</v>
      </c>
      <c r="AY194" s="19" t="n">
        <v>0</v>
      </c>
      <c r="AZ194" s="19" t="n">
        <v>0</v>
      </c>
      <c r="BA194" s="19" t="n">
        <v>0</v>
      </c>
      <c r="BB194" s="19" t="n">
        <v>0</v>
      </c>
      <c r="BC194" s="19" t="n">
        <v>0</v>
      </c>
      <c r="BD194" s="20" t="n">
        <f aca="false">SUM(D194:BC194)</f>
        <v>0.56</v>
      </c>
    </row>
    <row r="195" customFormat="false" ht="15" hidden="false" customHeight="false" outlineLevel="0" collapsed="false">
      <c r="A195" s="5" t="s">
        <v>371</v>
      </c>
      <c r="B195" s="5" t="s">
        <v>64</v>
      </c>
      <c r="C195" s="5" t="s">
        <v>179</v>
      </c>
      <c r="D195" s="19" t="n">
        <v>0</v>
      </c>
      <c r="E195" s="19" t="n">
        <v>0</v>
      </c>
      <c r="F195" s="19" t="n">
        <v>0</v>
      </c>
      <c r="G195" s="19" t="n">
        <v>0</v>
      </c>
      <c r="H195" s="19" t="n">
        <v>0</v>
      </c>
      <c r="I195" s="19" t="n">
        <v>0</v>
      </c>
      <c r="J195" s="19" t="n">
        <v>0</v>
      </c>
      <c r="K195" s="19" t="n">
        <v>0</v>
      </c>
      <c r="L195" s="19" t="n">
        <v>0</v>
      </c>
      <c r="M195" s="19" t="n">
        <v>0</v>
      </c>
      <c r="N195" s="19" t="n">
        <v>0</v>
      </c>
      <c r="O195" s="19" t="n">
        <v>0</v>
      </c>
      <c r="P195" s="19" t="n">
        <v>0</v>
      </c>
      <c r="Q195" s="19" t="n">
        <v>0</v>
      </c>
      <c r="R195" s="19" t="n">
        <v>0</v>
      </c>
      <c r="S195" s="19" t="n">
        <v>0</v>
      </c>
      <c r="T195" s="19" t="n">
        <v>0.08</v>
      </c>
      <c r="U195" s="19" t="n">
        <v>0.16</v>
      </c>
      <c r="V195" s="19" t="n">
        <v>0.08</v>
      </c>
      <c r="W195" s="19" t="n">
        <v>0</v>
      </c>
      <c r="X195" s="19" t="n">
        <v>0</v>
      </c>
      <c r="Y195" s="19" t="n">
        <v>0</v>
      </c>
      <c r="Z195" s="19" t="n">
        <v>0</v>
      </c>
      <c r="AA195" s="19" t="n">
        <v>0</v>
      </c>
      <c r="AB195" s="19" t="n">
        <v>0</v>
      </c>
      <c r="AC195" s="19" t="n">
        <v>0</v>
      </c>
      <c r="AD195" s="19" t="n">
        <v>0</v>
      </c>
      <c r="AE195" s="19" t="n">
        <v>0</v>
      </c>
      <c r="AF195" s="19" t="n">
        <v>0</v>
      </c>
      <c r="AG195" s="19" t="n">
        <v>0</v>
      </c>
      <c r="AH195" s="19" t="n">
        <v>0</v>
      </c>
      <c r="AI195" s="19" t="n">
        <v>0</v>
      </c>
      <c r="AJ195" s="19" t="n">
        <v>0</v>
      </c>
      <c r="AK195" s="19" t="n">
        <v>0</v>
      </c>
      <c r="AL195" s="19" t="n">
        <v>0</v>
      </c>
      <c r="AM195" s="19" t="n">
        <v>0</v>
      </c>
      <c r="AN195" s="19" t="n">
        <v>0</v>
      </c>
      <c r="AO195" s="19" t="n">
        <v>0</v>
      </c>
      <c r="AP195" s="19" t="n">
        <v>0</v>
      </c>
      <c r="AQ195" s="19" t="n">
        <v>0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0</v>
      </c>
      <c r="AX195" s="19" t="n">
        <v>0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20" t="n">
        <f aca="false">SUM(D195:BC195)</f>
        <v>0.32</v>
      </c>
    </row>
    <row r="196" customFormat="false" ht="15" hidden="false" customHeight="false" outlineLevel="0" collapsed="false">
      <c r="A196" s="5" t="s">
        <v>372</v>
      </c>
      <c r="B196" s="5" t="s">
        <v>64</v>
      </c>
      <c r="C196" s="5" t="s">
        <v>179</v>
      </c>
      <c r="D196" s="19" t="n">
        <v>0</v>
      </c>
      <c r="E196" s="19" t="n">
        <v>0</v>
      </c>
      <c r="F196" s="19" t="n">
        <v>0</v>
      </c>
      <c r="G196" s="19" t="n">
        <v>0.05</v>
      </c>
      <c r="H196" s="19" t="n">
        <v>0.09</v>
      </c>
      <c r="I196" s="19" t="n">
        <v>0.05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  <c r="O196" s="19" t="n">
        <v>0</v>
      </c>
      <c r="P196" s="19" t="n">
        <v>0</v>
      </c>
      <c r="Q196" s="19" t="n">
        <v>0.03</v>
      </c>
      <c r="R196" s="19" t="n">
        <v>0.07</v>
      </c>
      <c r="S196" s="19" t="n">
        <v>0.03</v>
      </c>
      <c r="T196" s="19" t="n">
        <v>0</v>
      </c>
      <c r="U196" s="19" t="n">
        <v>0</v>
      </c>
      <c r="V196" s="19" t="n">
        <v>0.06</v>
      </c>
      <c r="W196" s="19" t="n">
        <v>0.11</v>
      </c>
      <c r="X196" s="19" t="n">
        <v>0.06</v>
      </c>
      <c r="Y196" s="19" t="n">
        <v>0</v>
      </c>
      <c r="Z196" s="19" t="n">
        <v>0</v>
      </c>
      <c r="AA196" s="19" t="n">
        <v>0</v>
      </c>
      <c r="AB196" s="19" t="n">
        <v>0</v>
      </c>
      <c r="AC196" s="19" t="n">
        <v>0</v>
      </c>
      <c r="AD196" s="19" t="n">
        <v>0</v>
      </c>
      <c r="AE196" s="19" t="n">
        <v>0</v>
      </c>
      <c r="AF196" s="19" t="n">
        <v>0</v>
      </c>
      <c r="AG196" s="19" t="n">
        <v>0</v>
      </c>
      <c r="AH196" s="19" t="n">
        <v>0</v>
      </c>
      <c r="AI196" s="19" t="n">
        <v>0</v>
      </c>
      <c r="AJ196" s="19" t="n">
        <v>0</v>
      </c>
      <c r="AK196" s="19" t="n">
        <v>0</v>
      </c>
      <c r="AL196" s="19" t="n">
        <v>0</v>
      </c>
      <c r="AM196" s="19" t="n">
        <v>0</v>
      </c>
      <c r="AN196" s="19" t="n">
        <v>0</v>
      </c>
      <c r="AO196" s="19" t="n">
        <v>0</v>
      </c>
      <c r="AP196" s="19" t="n">
        <v>0</v>
      </c>
      <c r="AQ196" s="19" t="n">
        <v>0</v>
      </c>
      <c r="AR196" s="19" t="n">
        <v>0</v>
      </c>
      <c r="AS196" s="19" t="n">
        <v>0</v>
      </c>
      <c r="AT196" s="19" t="n">
        <v>0</v>
      </c>
      <c r="AU196" s="19" t="n">
        <v>0</v>
      </c>
      <c r="AV196" s="19" t="n">
        <v>0</v>
      </c>
      <c r="AW196" s="19" t="n">
        <v>0</v>
      </c>
      <c r="AX196" s="19" t="n">
        <v>0</v>
      </c>
      <c r="AY196" s="19" t="n">
        <v>0</v>
      </c>
      <c r="AZ196" s="19" t="n">
        <v>0</v>
      </c>
      <c r="BA196" s="19" t="n">
        <v>0</v>
      </c>
      <c r="BB196" s="19" t="n">
        <v>0</v>
      </c>
      <c r="BC196" s="19" t="n">
        <v>0</v>
      </c>
      <c r="BD196" s="20" t="n">
        <f aca="false">SUM(D196:BC196)</f>
        <v>0.55</v>
      </c>
    </row>
    <row r="197" customFormat="false" ht="15" hidden="false" customHeight="false" outlineLevel="0" collapsed="false">
      <c r="A197" s="3" t="s">
        <v>373</v>
      </c>
      <c r="D197" s="20" t="n">
        <f aca="false">SUM(D5:D196)</f>
        <v>0.72</v>
      </c>
      <c r="E197" s="20" t="n">
        <f aca="false">SUM(E5:E196)</f>
        <v>1.26</v>
      </c>
      <c r="F197" s="20" t="n">
        <f aca="false">SUM(F5:F196)</f>
        <v>0.74</v>
      </c>
      <c r="G197" s="20" t="n">
        <f aca="false">SUM(G5:G196)</f>
        <v>0.62</v>
      </c>
      <c r="H197" s="20" t="n">
        <f aca="false">SUM(H5:H196)</f>
        <v>1.09</v>
      </c>
      <c r="I197" s="20" t="n">
        <f aca="false">SUM(I5:I196)</f>
        <v>1.17</v>
      </c>
      <c r="J197" s="20" t="n">
        <f aca="false">SUM(J5:J196)</f>
        <v>1.17</v>
      </c>
      <c r="K197" s="20" t="n">
        <f aca="false">SUM(K5:K196)</f>
        <v>1.23</v>
      </c>
      <c r="L197" s="20" t="n">
        <f aca="false">SUM(L5:L196)</f>
        <v>1.88</v>
      </c>
      <c r="M197" s="20" t="n">
        <f aca="false">SUM(M5:M196)</f>
        <v>4.14</v>
      </c>
      <c r="N197" s="20" t="n">
        <f aca="false">SUM(N5:N196)</f>
        <v>9.17</v>
      </c>
      <c r="O197" s="20" t="n">
        <f aca="false">SUM(O5:O196)</f>
        <v>14.93</v>
      </c>
      <c r="P197" s="20" t="n">
        <f aca="false">SUM(P5:P196)</f>
        <v>17.6</v>
      </c>
      <c r="Q197" s="20" t="n">
        <f aca="false">SUM(Q5:Q196)</f>
        <v>26.94</v>
      </c>
      <c r="R197" s="20" t="n">
        <f aca="false">SUM(R5:R196)</f>
        <v>47.63</v>
      </c>
      <c r="S197" s="20" t="n">
        <f aca="false">SUM(S5:S196)</f>
        <v>60.3</v>
      </c>
      <c r="T197" s="20" t="n">
        <f aca="false">SUM(T5:T196)</f>
        <v>67.72</v>
      </c>
      <c r="U197" s="20" t="n">
        <f aca="false">SUM(U5:U196)</f>
        <v>82.56</v>
      </c>
      <c r="V197" s="20" t="n">
        <f aca="false">SUM(V5:V196)</f>
        <v>95.15</v>
      </c>
      <c r="W197" s="20" t="n">
        <f aca="false">SUM(W5:W196)</f>
        <v>108.32</v>
      </c>
      <c r="X197" s="20" t="n">
        <f aca="false">SUM(X5:X196)</f>
        <v>128.14</v>
      </c>
      <c r="Y197" s="20" t="n">
        <f aca="false">SUM(Y5:Y196)</f>
        <v>129.54</v>
      </c>
      <c r="Z197" s="20" t="n">
        <f aca="false">SUM(Z5:Z196)</f>
        <v>108.71</v>
      </c>
      <c r="AA197" s="20" t="n">
        <f aca="false">SUM(AA5:AA196)</f>
        <v>106.92</v>
      </c>
      <c r="AB197" s="20" t="n">
        <f aca="false">SUM(AB5:AB196)</f>
        <v>125.34</v>
      </c>
      <c r="AC197" s="20" t="n">
        <f aca="false">SUM(AC5:AC196)</f>
        <v>133.66</v>
      </c>
      <c r="AD197" s="20" t="n">
        <f aca="false">SUM(AD5:AD196)</f>
        <v>124.69</v>
      </c>
      <c r="AE197" s="20" t="n">
        <f aca="false">SUM(AE5:AE196)</f>
        <v>107.31</v>
      </c>
      <c r="AF197" s="20" t="n">
        <f aca="false">SUM(AF5:AF196)</f>
        <v>87.77</v>
      </c>
      <c r="AG197" s="20" t="n">
        <f aca="false">SUM(AG5:AG196)</f>
        <v>69.59</v>
      </c>
      <c r="AH197" s="20" t="n">
        <f aca="false">SUM(AH5:AH196)</f>
        <v>70.1</v>
      </c>
      <c r="AI197" s="20" t="n">
        <f aca="false">SUM(AI5:AI196)</f>
        <v>77.87</v>
      </c>
      <c r="AJ197" s="20" t="n">
        <f aca="false">SUM(AJ5:AJ196)</f>
        <v>56.09</v>
      </c>
      <c r="AK197" s="20" t="n">
        <f aca="false">SUM(AK5:AK196)</f>
        <v>27.87</v>
      </c>
      <c r="AL197" s="20" t="n">
        <f aca="false">SUM(AL5:AL196)</f>
        <v>30.98</v>
      </c>
      <c r="AM197" s="20" t="n">
        <f aca="false">SUM(AM5:AM196)</f>
        <v>34.88</v>
      </c>
      <c r="AN197" s="20" t="n">
        <f aca="false">SUM(AN5:AN196)</f>
        <v>22.86</v>
      </c>
      <c r="AO197" s="20" t="n">
        <f aca="false">SUM(AO5:AO196)</f>
        <v>16.93</v>
      </c>
      <c r="AP197" s="20" t="n">
        <f aca="false">SUM(AP5:AP196)</f>
        <v>15.47</v>
      </c>
      <c r="AQ197" s="20" t="n">
        <f aca="false">SUM(AQ5:AQ196)</f>
        <v>13.42</v>
      </c>
      <c r="AR197" s="20" t="n">
        <f aca="false">SUM(AR5:AR196)</f>
        <v>13.75</v>
      </c>
      <c r="AS197" s="20" t="n">
        <f aca="false">SUM(AS5:AS196)</f>
        <v>12.26</v>
      </c>
      <c r="AT197" s="20" t="n">
        <f aca="false">SUM(AT5:AT196)</f>
        <v>10.05</v>
      </c>
      <c r="AU197" s="20" t="n">
        <f aca="false">SUM(AU5:AU196)</f>
        <v>8.67</v>
      </c>
      <c r="AV197" s="20" t="n">
        <f aca="false">SUM(AV5:AV196)</f>
        <v>8.02</v>
      </c>
      <c r="AW197" s="20" t="n">
        <f aca="false">SUM(AW5:AW196)</f>
        <v>7.42</v>
      </c>
      <c r="AX197" s="20" t="n">
        <f aca="false">SUM(AX5:AX196)</f>
        <v>5.61</v>
      </c>
      <c r="AY197" s="20" t="n">
        <f aca="false">SUM(AY5:AY196)</f>
        <v>3.92</v>
      </c>
      <c r="AZ197" s="20" t="n">
        <f aca="false">SUM(AZ5:AZ196)</f>
        <v>2.31</v>
      </c>
      <c r="BA197" s="20" t="n">
        <f aca="false">SUM(BA5:BA196)</f>
        <v>1.6</v>
      </c>
      <c r="BB197" s="20" t="n">
        <f aca="false">SUM(BB5:BB196)</f>
        <v>1.54</v>
      </c>
      <c r="BC197" s="20" t="n">
        <f aca="false">SUM(BC5:BC196)</f>
        <v>0.64</v>
      </c>
      <c r="BD197" s="21" t="n">
        <f aca="false">SUM(D197:BC197)</f>
        <v>2108.27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6" min="56" style="0" width="11"/>
  </cols>
  <sheetData>
    <row r="1" customFormat="false" ht="17.35" hidden="false" customHeight="false" outlineLevel="0" collapsed="false">
      <c r="A1" s="16" t="s">
        <v>374</v>
      </c>
    </row>
    <row r="2" customFormat="false" ht="15" hidden="false" customHeight="false" outlineLevel="0" collapsed="false">
      <c r="A2" s="2" t="s">
        <v>375</v>
      </c>
    </row>
    <row r="3" customFormat="false" ht="15" hidden="false" customHeight="false" outlineLevel="0" collapsed="false">
      <c r="A3" s="17" t="s">
        <v>8</v>
      </c>
      <c r="B3" s="17" t="s">
        <v>39</v>
      </c>
      <c r="C3" s="17" t="s">
        <v>376</v>
      </c>
      <c r="D3" s="17" t="s">
        <v>72</v>
      </c>
      <c r="E3" s="17" t="s">
        <v>73</v>
      </c>
      <c r="F3" s="17" t="s">
        <v>74</v>
      </c>
      <c r="G3" s="17" t="s">
        <v>75</v>
      </c>
      <c r="H3" s="17" t="s">
        <v>76</v>
      </c>
      <c r="I3" s="17" t="s">
        <v>77</v>
      </c>
      <c r="J3" s="17" t="s">
        <v>78</v>
      </c>
      <c r="K3" s="17" t="s">
        <v>79</v>
      </c>
      <c r="L3" s="17" t="s">
        <v>80</v>
      </c>
      <c r="M3" s="17" t="s">
        <v>81</v>
      </c>
      <c r="N3" s="17" t="s">
        <v>82</v>
      </c>
      <c r="O3" s="17" t="s">
        <v>83</v>
      </c>
      <c r="P3" s="17" t="s">
        <v>84</v>
      </c>
      <c r="Q3" s="17" t="s">
        <v>85</v>
      </c>
      <c r="R3" s="17" t="s">
        <v>86</v>
      </c>
      <c r="S3" s="17" t="s">
        <v>87</v>
      </c>
      <c r="T3" s="17" t="s">
        <v>88</v>
      </c>
      <c r="U3" s="17" t="s">
        <v>89</v>
      </c>
      <c r="V3" s="17" t="s">
        <v>90</v>
      </c>
      <c r="W3" s="17" t="s">
        <v>91</v>
      </c>
      <c r="X3" s="17" t="s">
        <v>92</v>
      </c>
      <c r="Y3" s="17" t="s">
        <v>93</v>
      </c>
      <c r="Z3" s="17" t="s">
        <v>94</v>
      </c>
      <c r="AA3" s="17" t="s">
        <v>95</v>
      </c>
      <c r="AB3" s="17" t="s">
        <v>96</v>
      </c>
      <c r="AC3" s="17" t="s">
        <v>97</v>
      </c>
      <c r="AD3" s="17" t="s">
        <v>98</v>
      </c>
      <c r="AE3" s="17" t="s">
        <v>99</v>
      </c>
      <c r="AF3" s="17" t="s">
        <v>100</v>
      </c>
      <c r="AG3" s="17" t="s">
        <v>101</v>
      </c>
      <c r="AH3" s="17" t="s">
        <v>102</v>
      </c>
      <c r="AI3" s="17" t="s">
        <v>103</v>
      </c>
      <c r="AJ3" s="17" t="s">
        <v>104</v>
      </c>
      <c r="AK3" s="17" t="s">
        <v>105</v>
      </c>
      <c r="AL3" s="17" t="s">
        <v>106</v>
      </c>
      <c r="AM3" s="17" t="s">
        <v>107</v>
      </c>
      <c r="AN3" s="17" t="s">
        <v>108</v>
      </c>
      <c r="AO3" s="17" t="s">
        <v>109</v>
      </c>
      <c r="AP3" s="17" t="s">
        <v>110</v>
      </c>
      <c r="AQ3" s="17" t="s">
        <v>111</v>
      </c>
      <c r="AR3" s="17" t="s">
        <v>112</v>
      </c>
      <c r="AS3" s="17" t="s">
        <v>113</v>
      </c>
      <c r="AT3" s="17" t="s">
        <v>114</v>
      </c>
      <c r="AU3" s="17" t="s">
        <v>115</v>
      </c>
      <c r="AV3" s="17" t="s">
        <v>116</v>
      </c>
      <c r="AW3" s="17" t="s">
        <v>117</v>
      </c>
      <c r="AX3" s="17" t="s">
        <v>118</v>
      </c>
      <c r="AY3" s="17" t="s">
        <v>119</v>
      </c>
      <c r="AZ3" s="17" t="s">
        <v>120</v>
      </c>
      <c r="BA3" s="17" t="s">
        <v>121</v>
      </c>
      <c r="BB3" s="17" t="s">
        <v>122</v>
      </c>
      <c r="BC3" s="17" t="s">
        <v>123</v>
      </c>
      <c r="BD3" s="17" t="s">
        <v>124</v>
      </c>
    </row>
    <row r="4" customFormat="false" ht="15" hidden="false" customHeight="false" outlineLevel="0" collapsed="false">
      <c r="D4" s="18" t="s">
        <v>126</v>
      </c>
      <c r="E4" s="18" t="s">
        <v>127</v>
      </c>
      <c r="F4" s="18" t="s">
        <v>128</v>
      </c>
      <c r="G4" s="18" t="s">
        <v>129</v>
      </c>
      <c r="H4" s="18" t="s">
        <v>130</v>
      </c>
      <c r="I4" s="18" t="s">
        <v>131</v>
      </c>
      <c r="J4" s="18" t="s">
        <v>132</v>
      </c>
      <c r="K4" s="18" t="s">
        <v>133</v>
      </c>
      <c r="L4" s="18" t="s">
        <v>134</v>
      </c>
      <c r="M4" s="18" t="s">
        <v>135</v>
      </c>
      <c r="N4" s="18" t="s">
        <v>136</v>
      </c>
      <c r="O4" s="18" t="s">
        <v>137</v>
      </c>
      <c r="P4" s="18" t="s">
        <v>138</v>
      </c>
      <c r="Q4" s="18" t="s">
        <v>139</v>
      </c>
      <c r="R4" s="18" t="s">
        <v>140</v>
      </c>
      <c r="S4" s="18" t="s">
        <v>141</v>
      </c>
      <c r="T4" s="18" t="s">
        <v>142</v>
      </c>
      <c r="U4" s="18" t="s">
        <v>143</v>
      </c>
      <c r="V4" s="18" t="s">
        <v>144</v>
      </c>
      <c r="W4" s="18" t="s">
        <v>145</v>
      </c>
      <c r="X4" s="18" t="s">
        <v>146</v>
      </c>
      <c r="Y4" s="18" t="s">
        <v>147</v>
      </c>
      <c r="Z4" s="18" t="s">
        <v>148</v>
      </c>
      <c r="AA4" s="18" t="s">
        <v>149</v>
      </c>
      <c r="AB4" s="18" t="s">
        <v>150</v>
      </c>
      <c r="AC4" s="18" t="s">
        <v>151</v>
      </c>
      <c r="AD4" s="18" t="s">
        <v>152</v>
      </c>
      <c r="AE4" s="18" t="s">
        <v>153</v>
      </c>
      <c r="AF4" s="18" t="s">
        <v>154</v>
      </c>
      <c r="AG4" s="18" t="s">
        <v>155</v>
      </c>
      <c r="AH4" s="18" t="s">
        <v>156</v>
      </c>
      <c r="AI4" s="18" t="s">
        <v>157</v>
      </c>
      <c r="AJ4" s="18" t="s">
        <v>158</v>
      </c>
      <c r="AK4" s="18" t="s">
        <v>159</v>
      </c>
      <c r="AL4" s="18" t="s">
        <v>160</v>
      </c>
      <c r="AM4" s="18" t="s">
        <v>161</v>
      </c>
      <c r="AN4" s="18" t="s">
        <v>162</v>
      </c>
      <c r="AO4" s="18" t="s">
        <v>163</v>
      </c>
      <c r="AP4" s="18" t="s">
        <v>164</v>
      </c>
      <c r="AQ4" s="18" t="s">
        <v>165</v>
      </c>
      <c r="AR4" s="18" t="s">
        <v>166</v>
      </c>
      <c r="AS4" s="18" t="s">
        <v>167</v>
      </c>
      <c r="AT4" s="18" t="s">
        <v>168</v>
      </c>
      <c r="AU4" s="18" t="s">
        <v>169</v>
      </c>
      <c r="AV4" s="18" t="s">
        <v>170</v>
      </c>
      <c r="AW4" s="18" t="s">
        <v>171</v>
      </c>
      <c r="AX4" s="18" t="s">
        <v>172</v>
      </c>
      <c r="AY4" s="18" t="s">
        <v>173</v>
      </c>
      <c r="AZ4" s="18" t="s">
        <v>174</v>
      </c>
      <c r="BA4" s="18" t="s">
        <v>175</v>
      </c>
      <c r="BB4" s="18" t="s">
        <v>176</v>
      </c>
      <c r="BC4" s="18" t="s">
        <v>177</v>
      </c>
    </row>
    <row r="5" customFormat="false" ht="15" hidden="false" customHeight="false" outlineLevel="0" collapsed="false">
      <c r="A5" s="5" t="s">
        <v>178</v>
      </c>
      <c r="B5" s="5" t="s">
        <v>62</v>
      </c>
      <c r="C5" s="22" t="n">
        <v>86.4</v>
      </c>
      <c r="D5" s="23" t="n">
        <f aca="false">'Qté 2027'!D5*$C5</f>
        <v>0</v>
      </c>
      <c r="E5" s="23" t="n">
        <f aca="false">'Qté 2027'!E5*$C5</f>
        <v>0</v>
      </c>
      <c r="F5" s="23" t="n">
        <f aca="false">'Qté 2027'!F5*$C5</f>
        <v>0</v>
      </c>
      <c r="G5" s="23" t="n">
        <f aca="false">'Qté 2027'!G5*$C5</f>
        <v>0</v>
      </c>
      <c r="H5" s="23" t="n">
        <f aca="false">'Qté 2027'!H5*$C5</f>
        <v>0</v>
      </c>
      <c r="I5" s="23" t="n">
        <f aca="false">'Qté 2027'!I5*$C5</f>
        <v>0</v>
      </c>
      <c r="J5" s="23" t="n">
        <f aca="false">'Qté 2027'!J5*$C5</f>
        <v>6.912</v>
      </c>
      <c r="K5" s="23" t="n">
        <f aca="false">'Qté 2027'!K5*$C5</f>
        <v>16.416</v>
      </c>
      <c r="L5" s="23" t="n">
        <f aca="false">'Qté 2027'!L5*$C5</f>
        <v>19.872</v>
      </c>
      <c r="M5" s="23" t="n">
        <f aca="false">'Qté 2027'!M5*$C5</f>
        <v>31.104</v>
      </c>
      <c r="N5" s="23" t="n">
        <f aca="false">'Qté 2027'!N5*$C5</f>
        <v>38.88</v>
      </c>
      <c r="O5" s="23" t="n">
        <f aca="false">'Qté 2027'!O5*$C5</f>
        <v>20.736</v>
      </c>
      <c r="P5" s="23" t="n">
        <f aca="false">'Qté 2027'!P5*$C5</f>
        <v>19.872</v>
      </c>
      <c r="Q5" s="23" t="n">
        <f aca="false">'Qté 2027'!Q5*$C5</f>
        <v>69.12</v>
      </c>
      <c r="R5" s="23" t="n">
        <f aca="false">'Qté 2027'!R5*$C5</f>
        <v>133.056</v>
      </c>
      <c r="S5" s="23" t="n">
        <f aca="false">'Qté 2027'!S5*$C5</f>
        <v>168.48</v>
      </c>
      <c r="T5" s="23" t="n">
        <f aca="false">'Qté 2027'!T5*$C5</f>
        <v>210.816</v>
      </c>
      <c r="U5" s="23" t="n">
        <f aca="false">'Qté 2027'!U5*$C5</f>
        <v>275.616</v>
      </c>
      <c r="V5" s="23" t="n">
        <f aca="false">'Qté 2027'!V5*$C5</f>
        <v>316.224</v>
      </c>
      <c r="W5" s="23" t="n">
        <f aca="false">'Qté 2027'!W5*$C5</f>
        <v>357.696</v>
      </c>
      <c r="X5" s="23" t="n">
        <f aca="false">'Qté 2027'!X5*$C5</f>
        <v>455.328</v>
      </c>
      <c r="Y5" s="23" t="n">
        <f aca="false">'Qté 2027'!Y5*$C5</f>
        <v>481.248</v>
      </c>
      <c r="Z5" s="23" t="n">
        <f aca="false">'Qté 2027'!Z5*$C5</f>
        <v>338.688</v>
      </c>
      <c r="AA5" s="23" t="n">
        <f aca="false">'Qté 2027'!AA5*$C5</f>
        <v>285.984</v>
      </c>
      <c r="AB5" s="23" t="n">
        <f aca="false">'Qté 2027'!AB5*$C5</f>
        <v>493.344</v>
      </c>
      <c r="AC5" s="23" t="n">
        <f aca="false">'Qté 2027'!AC5*$C5</f>
        <v>705.888</v>
      </c>
      <c r="AD5" s="23" t="n">
        <f aca="false">'Qté 2027'!AD5*$C5</f>
        <v>725.76</v>
      </c>
      <c r="AE5" s="23" t="n">
        <f aca="false">'Qté 2027'!AE5*$C5</f>
        <v>704.16</v>
      </c>
      <c r="AF5" s="23" t="n">
        <f aca="false">'Qté 2027'!AF5*$C5</f>
        <v>595.296</v>
      </c>
      <c r="AG5" s="23" t="n">
        <f aca="false">'Qté 2027'!AG5*$C5</f>
        <v>380.16</v>
      </c>
      <c r="AH5" s="23" t="n">
        <f aca="false">'Qté 2027'!AH5*$C5</f>
        <v>413.856</v>
      </c>
      <c r="AI5" s="23" t="n">
        <f aca="false">'Qté 2027'!AI5*$C5</f>
        <v>571.104</v>
      </c>
      <c r="AJ5" s="23" t="n">
        <f aca="false">'Qté 2027'!AJ5*$C5</f>
        <v>444.96</v>
      </c>
      <c r="AK5" s="23" t="n">
        <f aca="false">'Qté 2027'!AK5*$C5</f>
        <v>190.944</v>
      </c>
      <c r="AL5" s="23" t="n">
        <f aca="false">'Qté 2027'!AL5*$C5</f>
        <v>158.976</v>
      </c>
      <c r="AM5" s="23" t="n">
        <f aca="false">'Qté 2027'!AM5*$C5</f>
        <v>202.176</v>
      </c>
      <c r="AN5" s="23" t="n">
        <f aca="false">'Qté 2027'!AN5*$C5</f>
        <v>112.32</v>
      </c>
      <c r="AO5" s="23" t="n">
        <f aca="false">'Qté 2027'!AO5*$C5</f>
        <v>30.24</v>
      </c>
      <c r="AP5" s="23" t="n">
        <f aca="false">'Qté 2027'!AP5*$C5</f>
        <v>19.872</v>
      </c>
      <c r="AQ5" s="23" t="n">
        <f aca="false">'Qté 2027'!AQ5*$C5</f>
        <v>27.648</v>
      </c>
      <c r="AR5" s="23" t="n">
        <f aca="false">'Qté 2027'!AR5*$C5</f>
        <v>34.56</v>
      </c>
      <c r="AS5" s="23" t="n">
        <f aca="false">'Qté 2027'!AS5*$C5</f>
        <v>24.192</v>
      </c>
      <c r="AT5" s="23" t="n">
        <f aca="false">'Qté 2027'!AT5*$C5</f>
        <v>14.688</v>
      </c>
      <c r="AU5" s="23" t="n">
        <f aca="false">'Qté 2027'!AU5*$C5</f>
        <v>21.6</v>
      </c>
      <c r="AV5" s="23" t="n">
        <f aca="false">'Qté 2027'!AV5*$C5</f>
        <v>28.512</v>
      </c>
      <c r="AW5" s="23" t="n">
        <f aca="false">'Qté 2027'!AW5*$C5</f>
        <v>14.688</v>
      </c>
      <c r="AX5" s="23" t="n">
        <f aca="false">'Qté 2027'!AX5*$C5</f>
        <v>0</v>
      </c>
      <c r="AY5" s="23" t="n">
        <f aca="false">'Qté 2027'!AY5*$C5</f>
        <v>0</v>
      </c>
      <c r="AZ5" s="23" t="n">
        <f aca="false">'Qté 2027'!AZ5*$C5</f>
        <v>0</v>
      </c>
      <c r="BA5" s="23" t="n">
        <f aca="false">'Qté 2027'!BA5*$C5</f>
        <v>0</v>
      </c>
      <c r="BB5" s="23" t="n">
        <f aca="false">'Qté 2027'!BB5*$C5</f>
        <v>0</v>
      </c>
      <c r="BC5" s="23" t="n">
        <f aca="false">'Qté 2027'!BC5*$C5</f>
        <v>0</v>
      </c>
      <c r="BD5" s="15" t="n">
        <f aca="false">SUM(D5:BC5)</f>
        <v>9160.992</v>
      </c>
    </row>
    <row r="6" customFormat="false" ht="15" hidden="false" customHeight="false" outlineLevel="0" collapsed="false">
      <c r="A6" s="5" t="s">
        <v>180</v>
      </c>
      <c r="B6" s="5" t="s">
        <v>62</v>
      </c>
      <c r="C6" s="22" t="n">
        <v>75</v>
      </c>
      <c r="D6" s="23" t="n">
        <f aca="false">'Qté 2027'!D6*$C6</f>
        <v>0</v>
      </c>
      <c r="E6" s="23" t="n">
        <f aca="false">'Qté 2027'!E6*$C6</f>
        <v>0</v>
      </c>
      <c r="F6" s="23" t="n">
        <f aca="false">'Qté 2027'!F6*$C6</f>
        <v>0</v>
      </c>
      <c r="G6" s="23" t="n">
        <f aca="false">'Qté 2027'!G6*$C6</f>
        <v>0</v>
      </c>
      <c r="H6" s="23" t="n">
        <f aca="false">'Qté 2027'!H6*$C6</f>
        <v>0</v>
      </c>
      <c r="I6" s="23" t="n">
        <f aca="false">'Qté 2027'!I6*$C6</f>
        <v>0</v>
      </c>
      <c r="J6" s="23" t="n">
        <f aca="false">'Qté 2027'!J6*$C6</f>
        <v>0</v>
      </c>
      <c r="K6" s="23" t="n">
        <f aca="false">'Qté 2027'!K6*$C6</f>
        <v>0</v>
      </c>
      <c r="L6" s="23" t="n">
        <f aca="false">'Qté 2027'!L6*$C6</f>
        <v>0</v>
      </c>
      <c r="M6" s="23" t="n">
        <f aca="false">'Qté 2027'!M6*$C6</f>
        <v>20.25</v>
      </c>
      <c r="N6" s="23" t="n">
        <f aca="false">'Qté 2027'!N6*$C6</f>
        <v>45</v>
      </c>
      <c r="O6" s="23" t="n">
        <f aca="false">'Qté 2027'!O6*$C6</f>
        <v>47.25</v>
      </c>
      <c r="P6" s="23" t="n">
        <f aca="false">'Qté 2027'!P6*$C6</f>
        <v>54</v>
      </c>
      <c r="Q6" s="23" t="n">
        <f aca="false">'Qté 2027'!Q6*$C6</f>
        <v>104.25</v>
      </c>
      <c r="R6" s="23" t="n">
        <f aca="false">'Qté 2027'!R6*$C6</f>
        <v>206.25</v>
      </c>
      <c r="S6" s="23" t="n">
        <f aca="false">'Qté 2027'!S6*$C6</f>
        <v>253.5</v>
      </c>
      <c r="T6" s="23" t="n">
        <f aca="false">'Qté 2027'!T6*$C6</f>
        <v>233.25</v>
      </c>
      <c r="U6" s="23" t="n">
        <f aca="false">'Qté 2027'!U6*$C6</f>
        <v>241.5</v>
      </c>
      <c r="V6" s="23" t="n">
        <f aca="false">'Qté 2027'!V6*$C6</f>
        <v>275.25</v>
      </c>
      <c r="W6" s="23" t="n">
        <f aca="false">'Qté 2027'!W6*$C6</f>
        <v>363</v>
      </c>
      <c r="X6" s="23" t="n">
        <f aca="false">'Qté 2027'!X6*$C6</f>
        <v>456</v>
      </c>
      <c r="Y6" s="23" t="n">
        <f aca="false">'Qté 2027'!Y6*$C6</f>
        <v>435</v>
      </c>
      <c r="Z6" s="23" t="n">
        <f aca="false">'Qté 2027'!Z6*$C6</f>
        <v>380.25</v>
      </c>
      <c r="AA6" s="23" t="n">
        <f aca="false">'Qté 2027'!AA6*$C6</f>
        <v>439.5</v>
      </c>
      <c r="AB6" s="23" t="n">
        <f aca="false">'Qté 2027'!AB6*$C6</f>
        <v>592.5</v>
      </c>
      <c r="AC6" s="23" t="n">
        <f aca="false">'Qté 2027'!AC6*$C6</f>
        <v>684.75</v>
      </c>
      <c r="AD6" s="23" t="n">
        <f aca="false">'Qté 2027'!AD6*$C6</f>
        <v>599.25</v>
      </c>
      <c r="AE6" s="23" t="n">
        <f aca="false">'Qté 2027'!AE6*$C6</f>
        <v>387</v>
      </c>
      <c r="AF6" s="23" t="n">
        <f aca="false">'Qté 2027'!AF6*$C6</f>
        <v>188.25</v>
      </c>
      <c r="AG6" s="23" t="n">
        <f aca="false">'Qté 2027'!AG6*$C6</f>
        <v>113.25</v>
      </c>
      <c r="AH6" s="23" t="n">
        <f aca="false">'Qté 2027'!AH6*$C6</f>
        <v>139.5</v>
      </c>
      <c r="AI6" s="23" t="n">
        <f aca="false">'Qté 2027'!AI6*$C6</f>
        <v>147</v>
      </c>
      <c r="AJ6" s="23" t="n">
        <f aca="false">'Qté 2027'!AJ6*$C6</f>
        <v>117</v>
      </c>
      <c r="AK6" s="23" t="n">
        <f aca="false">'Qté 2027'!AK6*$C6</f>
        <v>90.75</v>
      </c>
      <c r="AL6" s="23" t="n">
        <f aca="false">'Qté 2027'!AL6*$C6</f>
        <v>145.5</v>
      </c>
      <c r="AM6" s="23" t="n">
        <f aca="false">'Qté 2027'!AM6*$C6</f>
        <v>189.75</v>
      </c>
      <c r="AN6" s="23" t="n">
        <f aca="false">'Qté 2027'!AN6*$C6</f>
        <v>123</v>
      </c>
      <c r="AO6" s="23" t="n">
        <f aca="false">'Qté 2027'!AO6*$C6</f>
        <v>77.25</v>
      </c>
      <c r="AP6" s="23" t="n">
        <f aca="false">'Qté 2027'!AP6*$C6</f>
        <v>51</v>
      </c>
      <c r="AQ6" s="23" t="n">
        <f aca="false">'Qté 2027'!AQ6*$C6</f>
        <v>16.5</v>
      </c>
      <c r="AR6" s="23" t="n">
        <f aca="false">'Qté 2027'!AR6*$C6</f>
        <v>20.25</v>
      </c>
      <c r="AS6" s="23" t="n">
        <f aca="false">'Qté 2027'!AS6*$C6</f>
        <v>47.25</v>
      </c>
      <c r="AT6" s="23" t="n">
        <f aca="false">'Qté 2027'!AT6*$C6</f>
        <v>56.25</v>
      </c>
      <c r="AU6" s="23" t="n">
        <f aca="false">'Qté 2027'!AU6*$C6</f>
        <v>37.5</v>
      </c>
      <c r="AV6" s="23" t="n">
        <f aca="false">'Qté 2027'!AV6*$C6</f>
        <v>18.75</v>
      </c>
      <c r="AW6" s="23" t="n">
        <f aca="false">'Qté 2027'!AW6*$C6</f>
        <v>6</v>
      </c>
      <c r="AX6" s="23" t="n">
        <f aca="false">'Qté 2027'!AX6*$C6</f>
        <v>0</v>
      </c>
      <c r="AY6" s="23" t="n">
        <f aca="false">'Qté 2027'!AY6*$C6</f>
        <v>6</v>
      </c>
      <c r="AZ6" s="23" t="n">
        <f aca="false">'Qté 2027'!AZ6*$C6</f>
        <v>12.75</v>
      </c>
      <c r="BA6" s="23" t="n">
        <f aca="false">'Qté 2027'!BA6*$C6</f>
        <v>6</v>
      </c>
      <c r="BB6" s="23" t="n">
        <f aca="false">'Qté 2027'!BB6*$C6</f>
        <v>0</v>
      </c>
      <c r="BC6" s="23" t="n">
        <f aca="false">'Qté 2027'!BC6*$C6</f>
        <v>0</v>
      </c>
      <c r="BD6" s="15" t="n">
        <f aca="false">SUM(D6:BC6)</f>
        <v>7427.25</v>
      </c>
    </row>
    <row r="7" customFormat="false" ht="15" hidden="false" customHeight="false" outlineLevel="0" collapsed="false">
      <c r="A7" s="5" t="s">
        <v>181</v>
      </c>
      <c r="B7" s="5" t="s">
        <v>57</v>
      </c>
      <c r="C7" s="22" t="n">
        <v>18</v>
      </c>
      <c r="D7" s="23" t="n">
        <f aca="false">'Qté 2027'!D7*$C7</f>
        <v>0</v>
      </c>
      <c r="E7" s="23" t="n">
        <f aca="false">'Qté 2027'!E7*$C7</f>
        <v>0</v>
      </c>
      <c r="F7" s="23" t="n">
        <f aca="false">'Qté 2027'!F7*$C7</f>
        <v>0</v>
      </c>
      <c r="G7" s="23" t="n">
        <f aca="false">'Qté 2027'!G7*$C7</f>
        <v>0</v>
      </c>
      <c r="H7" s="23" t="n">
        <f aca="false">'Qté 2027'!H7*$C7</f>
        <v>0</v>
      </c>
      <c r="I7" s="23" t="n">
        <f aca="false">'Qté 2027'!I7*$C7</f>
        <v>0</v>
      </c>
      <c r="J7" s="23" t="n">
        <f aca="false">'Qté 2027'!J7*$C7</f>
        <v>0</v>
      </c>
      <c r="K7" s="23" t="n">
        <f aca="false">'Qté 2027'!K7*$C7</f>
        <v>0</v>
      </c>
      <c r="L7" s="23" t="n">
        <f aca="false">'Qté 2027'!L7*$C7</f>
        <v>1.62</v>
      </c>
      <c r="M7" s="23" t="n">
        <f aca="false">'Qté 2027'!M7*$C7</f>
        <v>15.48</v>
      </c>
      <c r="N7" s="23" t="n">
        <f aca="false">'Qté 2027'!N7*$C7</f>
        <v>36.36</v>
      </c>
      <c r="O7" s="23" t="n">
        <f aca="false">'Qté 2027'!O7*$C7</f>
        <v>50.4</v>
      </c>
      <c r="P7" s="23" t="n">
        <f aca="false">'Qté 2027'!P7*$C7</f>
        <v>63.18</v>
      </c>
      <c r="Q7" s="23" t="n">
        <f aca="false">'Qté 2027'!Q7*$C7</f>
        <v>104.58</v>
      </c>
      <c r="R7" s="23" t="n">
        <f aca="false">'Qté 2027'!R7*$C7</f>
        <v>207.9</v>
      </c>
      <c r="S7" s="23" t="n">
        <f aca="false">'Qté 2027'!S7*$C7</f>
        <v>306.72</v>
      </c>
      <c r="T7" s="23" t="n">
        <f aca="false">'Qté 2027'!T7*$C7</f>
        <v>362.88</v>
      </c>
      <c r="U7" s="23" t="n">
        <f aca="false">'Qté 2027'!U7*$C7</f>
        <v>410.22</v>
      </c>
      <c r="V7" s="23" t="n">
        <f aca="false">'Qté 2027'!V7*$C7</f>
        <v>437.94</v>
      </c>
      <c r="W7" s="23" t="n">
        <f aca="false">'Qté 2027'!W7*$C7</f>
        <v>443.16</v>
      </c>
      <c r="X7" s="23" t="n">
        <f aca="false">'Qté 2027'!X7*$C7</f>
        <v>446.76</v>
      </c>
      <c r="Y7" s="23" t="n">
        <f aca="false">'Qté 2027'!Y7*$C7</f>
        <v>396.72</v>
      </c>
      <c r="Z7" s="23" t="n">
        <f aca="false">'Qté 2027'!Z7*$C7</f>
        <v>241.74</v>
      </c>
      <c r="AA7" s="23" t="n">
        <f aca="false">'Qté 2027'!AA7*$C7</f>
        <v>161.64</v>
      </c>
      <c r="AB7" s="23" t="n">
        <f aca="false">'Qté 2027'!AB7*$C7</f>
        <v>211.86</v>
      </c>
      <c r="AC7" s="23" t="n">
        <f aca="false">'Qté 2027'!AC7*$C7</f>
        <v>223.92</v>
      </c>
      <c r="AD7" s="23" t="n">
        <f aca="false">'Qté 2027'!AD7*$C7</f>
        <v>202.86</v>
      </c>
      <c r="AE7" s="23" t="n">
        <f aca="false">'Qté 2027'!AE7*$C7</f>
        <v>171.72</v>
      </c>
      <c r="AF7" s="23" t="n">
        <f aca="false">'Qté 2027'!AF7*$C7</f>
        <v>111.78</v>
      </c>
      <c r="AG7" s="23" t="n">
        <f aca="false">'Qté 2027'!AG7*$C7</f>
        <v>70.92</v>
      </c>
      <c r="AH7" s="23" t="n">
        <f aca="false">'Qté 2027'!AH7*$C7</f>
        <v>50.76</v>
      </c>
      <c r="AI7" s="23" t="n">
        <f aca="false">'Qté 2027'!AI7*$C7</f>
        <v>35.28</v>
      </c>
      <c r="AJ7" s="23" t="n">
        <f aca="false">'Qté 2027'!AJ7*$C7</f>
        <v>14.94</v>
      </c>
      <c r="AK7" s="23" t="n">
        <f aca="false">'Qté 2027'!AK7*$C7</f>
        <v>4.5</v>
      </c>
      <c r="AL7" s="23" t="n">
        <f aca="false">'Qté 2027'!AL7*$C7</f>
        <v>13.5</v>
      </c>
      <c r="AM7" s="23" t="n">
        <f aca="false">'Qté 2027'!AM7*$C7</f>
        <v>13.5</v>
      </c>
      <c r="AN7" s="23" t="n">
        <f aca="false">'Qté 2027'!AN7*$C7</f>
        <v>4.5</v>
      </c>
      <c r="AO7" s="23" t="n">
        <f aca="false">'Qté 2027'!AO7*$C7</f>
        <v>0</v>
      </c>
      <c r="AP7" s="23" t="n">
        <f aca="false">'Qté 2027'!AP7*$C7</f>
        <v>0</v>
      </c>
      <c r="AQ7" s="23" t="n">
        <f aca="false">'Qté 2027'!AQ7*$C7</f>
        <v>0</v>
      </c>
      <c r="AR7" s="23" t="n">
        <f aca="false">'Qté 2027'!AR7*$C7</f>
        <v>0</v>
      </c>
      <c r="AS7" s="23" t="n">
        <f aca="false">'Qté 2027'!AS7*$C7</f>
        <v>0</v>
      </c>
      <c r="AT7" s="23" t="n">
        <f aca="false">'Qté 2027'!AT7*$C7</f>
        <v>0</v>
      </c>
      <c r="AU7" s="23" t="n">
        <f aca="false">'Qté 2027'!AU7*$C7</f>
        <v>0</v>
      </c>
      <c r="AV7" s="23" t="n">
        <f aca="false">'Qté 2027'!AV7*$C7</f>
        <v>0</v>
      </c>
      <c r="AW7" s="23" t="n">
        <f aca="false">'Qté 2027'!AW7*$C7</f>
        <v>0</v>
      </c>
      <c r="AX7" s="23" t="n">
        <f aca="false">'Qté 2027'!AX7*$C7</f>
        <v>0</v>
      </c>
      <c r="AY7" s="23" t="n">
        <f aca="false">'Qté 2027'!AY7*$C7</f>
        <v>0</v>
      </c>
      <c r="AZ7" s="23" t="n">
        <f aca="false">'Qté 2027'!AZ7*$C7</f>
        <v>0</v>
      </c>
      <c r="BA7" s="23" t="n">
        <f aca="false">'Qté 2027'!BA7*$C7</f>
        <v>0</v>
      </c>
      <c r="BB7" s="23" t="n">
        <f aca="false">'Qté 2027'!BB7*$C7</f>
        <v>0</v>
      </c>
      <c r="BC7" s="23" t="n">
        <f aca="false">'Qté 2027'!BC7*$C7</f>
        <v>0</v>
      </c>
      <c r="BD7" s="15" t="n">
        <f aca="false">SUM(D7:BC7)</f>
        <v>4817.34</v>
      </c>
    </row>
    <row r="8" customFormat="false" ht="15" hidden="false" customHeight="false" outlineLevel="0" collapsed="false">
      <c r="A8" s="5" t="s">
        <v>182</v>
      </c>
      <c r="B8" s="5" t="s">
        <v>69</v>
      </c>
      <c r="C8" s="22" t="n">
        <v>19</v>
      </c>
      <c r="D8" s="23" t="n">
        <f aca="false">'Qté 2027'!D8*$C8</f>
        <v>0</v>
      </c>
      <c r="E8" s="23" t="n">
        <f aca="false">'Qté 2027'!E8*$C8</f>
        <v>0</v>
      </c>
      <c r="F8" s="23" t="n">
        <f aca="false">'Qté 2027'!F8*$C8</f>
        <v>0</v>
      </c>
      <c r="G8" s="23" t="n">
        <f aca="false">'Qté 2027'!G8*$C8</f>
        <v>0</v>
      </c>
      <c r="H8" s="23" t="n">
        <f aca="false">'Qté 2027'!H8*$C8</f>
        <v>0</v>
      </c>
      <c r="I8" s="23" t="n">
        <f aca="false">'Qté 2027'!I8*$C8</f>
        <v>0</v>
      </c>
      <c r="J8" s="23" t="n">
        <f aca="false">'Qté 2027'!J8*$C8</f>
        <v>1.71</v>
      </c>
      <c r="K8" s="23" t="n">
        <f aca="false">'Qté 2027'!K8*$C8</f>
        <v>6.65</v>
      </c>
      <c r="L8" s="23" t="n">
        <f aca="false">'Qté 2027'!L8*$C8</f>
        <v>13.68</v>
      </c>
      <c r="M8" s="23" t="n">
        <f aca="false">'Qté 2027'!M8*$C8</f>
        <v>15.39</v>
      </c>
      <c r="N8" s="23" t="n">
        <f aca="false">'Qté 2027'!N8*$C8</f>
        <v>19.19</v>
      </c>
      <c r="O8" s="23" t="n">
        <f aca="false">'Qté 2027'!O8*$C8</f>
        <v>34.96</v>
      </c>
      <c r="P8" s="23" t="n">
        <f aca="false">'Qté 2027'!P8*$C8</f>
        <v>38.38</v>
      </c>
      <c r="Q8" s="23" t="n">
        <f aca="false">'Qté 2027'!Q8*$C8</f>
        <v>38.57</v>
      </c>
      <c r="R8" s="23" t="n">
        <f aca="false">'Qté 2027'!R8*$C8</f>
        <v>76.95</v>
      </c>
      <c r="S8" s="23" t="n">
        <f aca="false">'Qté 2027'!S8*$C8</f>
        <v>134.9</v>
      </c>
      <c r="T8" s="23" t="n">
        <f aca="false">'Qté 2027'!T8*$C8</f>
        <v>176.7</v>
      </c>
      <c r="U8" s="23" t="n">
        <f aca="false">'Qté 2027'!U8*$C8</f>
        <v>174.99</v>
      </c>
      <c r="V8" s="23" t="n">
        <f aca="false">'Qté 2027'!V8*$C8</f>
        <v>168.72</v>
      </c>
      <c r="W8" s="23" t="n">
        <f aca="false">'Qté 2027'!W8*$C8</f>
        <v>256.5</v>
      </c>
      <c r="X8" s="23" t="n">
        <f aca="false">'Qté 2027'!X8*$C8</f>
        <v>334.21</v>
      </c>
      <c r="Y8" s="23" t="n">
        <f aca="false">'Qté 2027'!Y8*$C8</f>
        <v>270.56</v>
      </c>
      <c r="Z8" s="23" t="n">
        <f aca="false">'Qté 2027'!Z8*$C8</f>
        <v>191.52</v>
      </c>
      <c r="AA8" s="23" t="n">
        <f aca="false">'Qté 2027'!AA8*$C8</f>
        <v>208.43</v>
      </c>
      <c r="AB8" s="23" t="n">
        <f aca="false">'Qté 2027'!AB8*$C8</f>
        <v>250.8</v>
      </c>
      <c r="AC8" s="23" t="n">
        <f aca="false">'Qté 2027'!AC8*$C8</f>
        <v>235.22</v>
      </c>
      <c r="AD8" s="23" t="n">
        <f aca="false">'Qté 2027'!AD8*$C8</f>
        <v>181.26</v>
      </c>
      <c r="AE8" s="23" t="n">
        <f aca="false">'Qté 2027'!AE8*$C8</f>
        <v>124.26</v>
      </c>
      <c r="AF8" s="23" t="n">
        <f aca="false">'Qté 2027'!AF8*$C8</f>
        <v>76</v>
      </c>
      <c r="AG8" s="23" t="n">
        <f aca="false">'Qté 2027'!AG8*$C8</f>
        <v>52.63</v>
      </c>
      <c r="AH8" s="23" t="n">
        <f aca="false">'Qté 2027'!AH8*$C8</f>
        <v>67.64</v>
      </c>
      <c r="AI8" s="23" t="n">
        <f aca="false">'Qté 2027'!AI8*$C8</f>
        <v>90.06</v>
      </c>
      <c r="AJ8" s="23" t="n">
        <f aca="false">'Qté 2027'!AJ8*$C8</f>
        <v>71.63</v>
      </c>
      <c r="AK8" s="23" t="n">
        <f aca="false">'Qté 2027'!AK8*$C8</f>
        <v>36.86</v>
      </c>
      <c r="AL8" s="23" t="n">
        <f aca="false">'Qté 2027'!AL8*$C8</f>
        <v>43.32</v>
      </c>
      <c r="AM8" s="23" t="n">
        <f aca="false">'Qté 2027'!AM8*$C8</f>
        <v>60.99</v>
      </c>
      <c r="AN8" s="23" t="n">
        <f aca="false">'Qté 2027'!AN8*$C8</f>
        <v>31.16</v>
      </c>
      <c r="AO8" s="23" t="n">
        <f aca="false">'Qté 2027'!AO8*$C8</f>
        <v>10.07</v>
      </c>
      <c r="AP8" s="23" t="n">
        <f aca="false">'Qté 2027'!AP8*$C8</f>
        <v>20.14</v>
      </c>
      <c r="AQ8" s="23" t="n">
        <f aca="false">'Qté 2027'!AQ8*$C8</f>
        <v>24.89</v>
      </c>
      <c r="AR8" s="23" t="n">
        <f aca="false">'Qté 2027'!AR8*$C8</f>
        <v>24.89</v>
      </c>
      <c r="AS8" s="23" t="n">
        <f aca="false">'Qté 2027'!AS8*$C8</f>
        <v>14.82</v>
      </c>
      <c r="AT8" s="23" t="n">
        <f aca="false">'Qté 2027'!AT8*$C8</f>
        <v>9.5</v>
      </c>
      <c r="AU8" s="23" t="n">
        <f aca="false">'Qté 2027'!AU8*$C8</f>
        <v>11.02</v>
      </c>
      <c r="AV8" s="23" t="n">
        <f aca="false">'Qté 2027'!AV8*$C8</f>
        <v>12.35</v>
      </c>
      <c r="AW8" s="23" t="n">
        <f aca="false">'Qté 2027'!AW8*$C8</f>
        <v>16.72</v>
      </c>
      <c r="AX8" s="23" t="n">
        <f aca="false">'Qté 2027'!AX8*$C8</f>
        <v>13.87</v>
      </c>
      <c r="AY8" s="23" t="n">
        <f aca="false">'Qté 2027'!AY8*$C8</f>
        <v>7.98</v>
      </c>
      <c r="AZ8" s="23" t="n">
        <f aca="false">'Qté 2027'!AZ8*$C8</f>
        <v>3.23</v>
      </c>
      <c r="BA8" s="23" t="n">
        <f aca="false">'Qté 2027'!BA8*$C8</f>
        <v>0</v>
      </c>
      <c r="BB8" s="23" t="n">
        <f aca="false">'Qté 2027'!BB8*$C8</f>
        <v>0</v>
      </c>
      <c r="BC8" s="23" t="n">
        <f aca="false">'Qté 2027'!BC8*$C8</f>
        <v>0</v>
      </c>
      <c r="BD8" s="15" t="n">
        <f aca="false">SUM(D8:BC8)</f>
        <v>3653.32</v>
      </c>
    </row>
    <row r="9" customFormat="false" ht="15" hidden="false" customHeight="false" outlineLevel="0" collapsed="false">
      <c r="A9" s="5" t="s">
        <v>183</v>
      </c>
      <c r="B9" s="5" t="s">
        <v>69</v>
      </c>
      <c r="C9" s="22" t="n">
        <v>77.48</v>
      </c>
      <c r="D9" s="23" t="n">
        <f aca="false">'Qté 2027'!D9*$C9</f>
        <v>0</v>
      </c>
      <c r="E9" s="23" t="n">
        <f aca="false">'Qté 2027'!E9*$C9</f>
        <v>0</v>
      </c>
      <c r="F9" s="23" t="n">
        <f aca="false">'Qté 2027'!F9*$C9</f>
        <v>0</v>
      </c>
      <c r="G9" s="23" t="n">
        <f aca="false">'Qté 2027'!G9*$C9</f>
        <v>0</v>
      </c>
      <c r="H9" s="23" t="n">
        <f aca="false">'Qté 2027'!H9*$C9</f>
        <v>0</v>
      </c>
      <c r="I9" s="23" t="n">
        <f aca="false">'Qté 2027'!I9*$C9</f>
        <v>0</v>
      </c>
      <c r="J9" s="23" t="n">
        <f aca="false">'Qté 2027'!J9*$C9</f>
        <v>0</v>
      </c>
      <c r="K9" s="23" t="n">
        <f aca="false">'Qté 2027'!K9*$C9</f>
        <v>0</v>
      </c>
      <c r="L9" s="23" t="n">
        <f aca="false">'Qté 2027'!L9*$C9</f>
        <v>4.6488</v>
      </c>
      <c r="M9" s="23" t="n">
        <f aca="false">'Qté 2027'!M9*$C9</f>
        <v>8.5228</v>
      </c>
      <c r="N9" s="23" t="n">
        <f aca="false">'Qté 2027'!N9*$C9</f>
        <v>4.6488</v>
      </c>
      <c r="O9" s="23" t="n">
        <f aca="false">'Qté 2027'!O9*$C9</f>
        <v>0</v>
      </c>
      <c r="P9" s="23" t="n">
        <f aca="false">'Qté 2027'!P9*$C9</f>
        <v>6.9732</v>
      </c>
      <c r="Q9" s="23" t="n">
        <f aca="false">'Qté 2027'!Q9*$C9</f>
        <v>25.5684</v>
      </c>
      <c r="R9" s="23" t="n">
        <f aca="false">'Qté 2027'!R9*$C9</f>
        <v>65.858</v>
      </c>
      <c r="S9" s="23" t="n">
        <f aca="false">'Qté 2027'!S9*$C9</f>
        <v>89.8768</v>
      </c>
      <c r="T9" s="23" t="n">
        <f aca="false">'Qté 2027'!T9*$C9</f>
        <v>68.9572</v>
      </c>
      <c r="U9" s="23" t="n">
        <f aca="false">'Qté 2027'!U9*$C9</f>
        <v>63.5336</v>
      </c>
      <c r="V9" s="23" t="n">
        <f aca="false">'Qté 2027'!V9*$C9</f>
        <v>80.5792</v>
      </c>
      <c r="W9" s="23" t="n">
        <f aca="false">'Qté 2027'!W9*$C9</f>
        <v>96.85</v>
      </c>
      <c r="X9" s="23" t="n">
        <f aca="false">'Qté 2027'!X9*$C9</f>
        <v>135.59</v>
      </c>
      <c r="Y9" s="23" t="n">
        <f aca="false">'Qté 2027'!Y9*$C9</f>
        <v>200.6732</v>
      </c>
      <c r="Z9" s="23" t="n">
        <f aca="false">'Qté 2027'!Z9*$C9</f>
        <v>221.5928</v>
      </c>
      <c r="AA9" s="23" t="n">
        <f aca="false">'Qté 2027'!AA9*$C9</f>
        <v>200.6732</v>
      </c>
      <c r="AB9" s="23" t="n">
        <f aca="false">'Qté 2027'!AB9*$C9</f>
        <v>223.9172</v>
      </c>
      <c r="AC9" s="23" t="n">
        <f aca="false">'Qté 2027'!AC9*$C9</f>
        <v>278.928</v>
      </c>
      <c r="AD9" s="23" t="n">
        <f aca="false">'Qté 2027'!AD9*$C9</f>
        <v>271.18</v>
      </c>
      <c r="AE9" s="23" t="n">
        <f aca="false">'Qté 2027'!AE9*$C9</f>
        <v>172.0056</v>
      </c>
      <c r="AF9" s="23" t="n">
        <f aca="false">'Qté 2027'!AF9*$C9</f>
        <v>86.0028</v>
      </c>
      <c r="AG9" s="23" t="n">
        <f aca="false">'Qté 2027'!AG9*$C9</f>
        <v>44.9384</v>
      </c>
      <c r="AH9" s="23" t="n">
        <f aca="false">'Qté 2027'!AH9*$C9</f>
        <v>50.362</v>
      </c>
      <c r="AI9" s="23" t="n">
        <f aca="false">'Qté 2027'!AI9*$C9</f>
        <v>83.6784</v>
      </c>
      <c r="AJ9" s="23" t="n">
        <f aca="false">'Qté 2027'!AJ9*$C9</f>
        <v>61.984</v>
      </c>
      <c r="AK9" s="23" t="n">
        <f aca="false">'Qté 2027'!AK9*$C9</f>
        <v>28.6676</v>
      </c>
      <c r="AL9" s="23" t="n">
        <f aca="false">'Qté 2027'!AL9*$C9</f>
        <v>54.236</v>
      </c>
      <c r="AM9" s="23" t="n">
        <f aca="false">'Qté 2027'!AM9*$C9</f>
        <v>69.732</v>
      </c>
      <c r="AN9" s="23" t="n">
        <f aca="false">'Qté 2027'!AN9*$C9</f>
        <v>37.1904</v>
      </c>
      <c r="AO9" s="23" t="n">
        <f aca="false">'Qté 2027'!AO9*$C9</f>
        <v>54.236</v>
      </c>
      <c r="AP9" s="23" t="n">
        <f aca="false">'Qté 2027'!AP9*$C9</f>
        <v>81.354</v>
      </c>
      <c r="AQ9" s="23" t="n">
        <f aca="false">'Qté 2027'!AQ9*$C9</f>
        <v>44.9384</v>
      </c>
      <c r="AR9" s="23" t="n">
        <f aca="false">'Qté 2027'!AR9*$C9</f>
        <v>24.7936</v>
      </c>
      <c r="AS9" s="23" t="n">
        <f aca="false">'Qté 2027'!AS9*$C9</f>
        <v>28.6676</v>
      </c>
      <c r="AT9" s="23" t="n">
        <f aca="false">'Qté 2027'!AT9*$C9</f>
        <v>19.37</v>
      </c>
      <c r="AU9" s="23" t="n">
        <f aca="false">'Qté 2027'!AU9*$C9</f>
        <v>6.1984</v>
      </c>
      <c r="AV9" s="23" t="n">
        <f aca="false">'Qté 2027'!AV9*$C9</f>
        <v>0</v>
      </c>
      <c r="AW9" s="23" t="n">
        <f aca="false">'Qté 2027'!AW9*$C9</f>
        <v>0</v>
      </c>
      <c r="AX9" s="23" t="n">
        <f aca="false">'Qté 2027'!AX9*$C9</f>
        <v>0</v>
      </c>
      <c r="AY9" s="23" t="n">
        <f aca="false">'Qté 2027'!AY9*$C9</f>
        <v>6.1984</v>
      </c>
      <c r="AZ9" s="23" t="n">
        <f aca="false">'Qté 2027'!AZ9*$C9</f>
        <v>13.1716</v>
      </c>
      <c r="BA9" s="23" t="n">
        <f aca="false">'Qté 2027'!BA9*$C9</f>
        <v>6.1984</v>
      </c>
      <c r="BB9" s="23" t="n">
        <f aca="false">'Qté 2027'!BB9*$C9</f>
        <v>0</v>
      </c>
      <c r="BC9" s="23" t="n">
        <f aca="false">'Qté 2027'!BC9*$C9</f>
        <v>0</v>
      </c>
      <c r="BD9" s="15" t="n">
        <f aca="false">SUM(D9:BC9)</f>
        <v>3022.4948</v>
      </c>
    </row>
    <row r="10" customFormat="false" ht="15" hidden="false" customHeight="false" outlineLevel="0" collapsed="false">
      <c r="A10" s="5" t="s">
        <v>184</v>
      </c>
      <c r="B10" s="5" t="s">
        <v>69</v>
      </c>
      <c r="C10" s="22" t="n">
        <v>38.28</v>
      </c>
      <c r="D10" s="23" t="n">
        <f aca="false">'Qté 2027'!D10*$C10</f>
        <v>0</v>
      </c>
      <c r="E10" s="23" t="n">
        <f aca="false">'Qté 2027'!E10*$C10</f>
        <v>0</v>
      </c>
      <c r="F10" s="23" t="n">
        <f aca="false">'Qté 2027'!F10*$C10</f>
        <v>0</v>
      </c>
      <c r="G10" s="23" t="n">
        <f aca="false">'Qté 2027'!G10*$C10</f>
        <v>0</v>
      </c>
      <c r="H10" s="23" t="n">
        <f aca="false">'Qté 2027'!H10*$C10</f>
        <v>0</v>
      </c>
      <c r="I10" s="23" t="n">
        <f aca="false">'Qté 2027'!I10*$C10</f>
        <v>0</v>
      </c>
      <c r="J10" s="23" t="n">
        <f aca="false">'Qté 2027'!J10*$C10</f>
        <v>0</v>
      </c>
      <c r="K10" s="23" t="n">
        <f aca="false">'Qté 2027'!K10*$C10</f>
        <v>0</v>
      </c>
      <c r="L10" s="23" t="n">
        <f aca="false">'Qté 2027'!L10*$C10</f>
        <v>0</v>
      </c>
      <c r="M10" s="23" t="n">
        <f aca="false">'Qté 2027'!M10*$C10</f>
        <v>0</v>
      </c>
      <c r="N10" s="23" t="n">
        <f aca="false">'Qté 2027'!N10*$C10</f>
        <v>6.8904</v>
      </c>
      <c r="O10" s="23" t="n">
        <f aca="false">'Qté 2027'!O10*$C10</f>
        <v>19.9056</v>
      </c>
      <c r="P10" s="23" t="n">
        <f aca="false">'Qté 2027'!P10*$C10</f>
        <v>21.054</v>
      </c>
      <c r="Q10" s="23" t="n">
        <f aca="false">'Qté 2027'!Q10*$C10</f>
        <v>12.6324</v>
      </c>
      <c r="R10" s="23" t="n">
        <f aca="false">'Qté 2027'!R10*$C10</f>
        <v>19.5228</v>
      </c>
      <c r="S10" s="23" t="n">
        <f aca="false">'Qté 2027'!S10*$C10</f>
        <v>42.8736</v>
      </c>
      <c r="T10" s="23" t="n">
        <f aca="false">'Qté 2027'!T10*$C10</f>
        <v>49.3812</v>
      </c>
      <c r="U10" s="23" t="n">
        <f aca="false">'Qté 2027'!U10*$C10</f>
        <v>48.6156</v>
      </c>
      <c r="V10" s="23" t="n">
        <f aca="false">'Qté 2027'!V10*$C10</f>
        <v>99.528</v>
      </c>
      <c r="W10" s="23" t="n">
        <f aca="false">'Qté 2027'!W10*$C10</f>
        <v>160.776</v>
      </c>
      <c r="X10" s="23" t="n">
        <f aca="false">'Qté 2027'!X10*$C10</f>
        <v>161.9244</v>
      </c>
      <c r="Y10" s="23" t="n">
        <f aca="false">'Qté 2027'!Y10*$C10</f>
        <v>136.2768</v>
      </c>
      <c r="Z10" s="23" t="n">
        <f aca="false">'Qté 2027'!Z10*$C10</f>
        <v>122.8788</v>
      </c>
      <c r="AA10" s="23" t="n">
        <f aca="false">'Qté 2027'!AA10*$C10</f>
        <v>143.55</v>
      </c>
      <c r="AB10" s="23" t="n">
        <f aca="false">'Qté 2027'!AB10*$C10</f>
        <v>172.6428</v>
      </c>
      <c r="AC10" s="23" t="n">
        <f aca="false">'Qté 2027'!AC10*$C10</f>
        <v>165.3696</v>
      </c>
      <c r="AD10" s="23" t="n">
        <f aca="false">'Qté 2027'!AD10*$C10</f>
        <v>151.9716</v>
      </c>
      <c r="AE10" s="23" t="n">
        <f aca="false">'Qté 2027'!AE10*$C10</f>
        <v>147.378</v>
      </c>
      <c r="AF10" s="23" t="n">
        <f aca="false">'Qté 2027'!AF10*$C10</f>
        <v>139.3392</v>
      </c>
      <c r="AG10" s="23" t="n">
        <f aca="false">'Qté 2027'!AG10*$C10</f>
        <v>134.3628</v>
      </c>
      <c r="AH10" s="23" t="n">
        <f aca="false">'Qté 2027'!AH10*$C10</f>
        <v>121.3476</v>
      </c>
      <c r="AI10" s="23" t="n">
        <f aca="false">'Qté 2027'!AI10*$C10</f>
        <v>85.3644</v>
      </c>
      <c r="AJ10" s="23" t="n">
        <f aca="false">'Qté 2027'!AJ10*$C10</f>
        <v>36.7488</v>
      </c>
      <c r="AK10" s="23" t="n">
        <f aca="false">'Qté 2027'!AK10*$C10</f>
        <v>6.5076</v>
      </c>
      <c r="AL10" s="23" t="n">
        <f aca="false">'Qté 2027'!AL10*$C10</f>
        <v>19.9056</v>
      </c>
      <c r="AM10" s="23" t="n">
        <f aca="false">'Qté 2027'!AM10*$C10</f>
        <v>42.4908</v>
      </c>
      <c r="AN10" s="23" t="n">
        <f aca="false">'Qté 2027'!AN10*$C10</f>
        <v>38.28</v>
      </c>
      <c r="AO10" s="23" t="n">
        <f aca="false">'Qté 2027'!AO10*$C10</f>
        <v>31.7724</v>
      </c>
      <c r="AP10" s="23" t="n">
        <f aca="false">'Qté 2027'!AP10*$C10</f>
        <v>31.7724</v>
      </c>
      <c r="AQ10" s="23" t="n">
        <f aca="false">'Qté 2027'!AQ10*$C10</f>
        <v>42.4908</v>
      </c>
      <c r="AR10" s="23" t="n">
        <f aca="false">'Qté 2027'!AR10*$C10</f>
        <v>44.022</v>
      </c>
      <c r="AS10" s="23" t="n">
        <f aca="false">'Qté 2027'!AS10*$C10</f>
        <v>16.4604</v>
      </c>
      <c r="AT10" s="23" t="n">
        <f aca="false">'Qté 2027'!AT10*$C10</f>
        <v>0</v>
      </c>
      <c r="AU10" s="23" t="n">
        <f aca="false">'Qté 2027'!AU10*$C10</f>
        <v>3.0624</v>
      </c>
      <c r="AV10" s="23" t="n">
        <f aca="false">'Qté 2027'!AV10*$C10</f>
        <v>6.5076</v>
      </c>
      <c r="AW10" s="23" t="n">
        <f aca="false">'Qté 2027'!AW10*$C10</f>
        <v>3.0624</v>
      </c>
      <c r="AX10" s="23" t="n">
        <f aca="false">'Qté 2027'!AX10*$C10</f>
        <v>6.5076</v>
      </c>
      <c r="AY10" s="23" t="n">
        <f aca="false">'Qté 2027'!AY10*$C10</f>
        <v>12.6324</v>
      </c>
      <c r="AZ10" s="23" t="n">
        <f aca="false">'Qté 2027'!AZ10*$C10</f>
        <v>6.5076</v>
      </c>
      <c r="BA10" s="23" t="n">
        <f aca="false">'Qté 2027'!BA10*$C10</f>
        <v>4.5936</v>
      </c>
      <c r="BB10" s="23" t="n">
        <f aca="false">'Qté 2027'!BB10*$C10</f>
        <v>8.8044</v>
      </c>
      <c r="BC10" s="23" t="n">
        <f aca="false">'Qté 2027'!BC10*$C10</f>
        <v>4.5936</v>
      </c>
      <c r="BD10" s="15" t="n">
        <f aca="false">SUM(D10:BC10)</f>
        <v>2530.308</v>
      </c>
    </row>
    <row r="11" customFormat="false" ht="15" hidden="false" customHeight="false" outlineLevel="0" collapsed="false">
      <c r="A11" s="5" t="s">
        <v>185</v>
      </c>
      <c r="B11" s="5" t="s">
        <v>69</v>
      </c>
      <c r="C11" s="22" t="n">
        <v>20.4</v>
      </c>
      <c r="D11" s="23" t="n">
        <f aca="false">'Qté 2027'!D11*$C11</f>
        <v>0</v>
      </c>
      <c r="E11" s="23" t="n">
        <f aca="false">'Qté 2027'!E11*$C11</f>
        <v>0</v>
      </c>
      <c r="F11" s="23" t="n">
        <f aca="false">'Qté 2027'!F11*$C11</f>
        <v>0</v>
      </c>
      <c r="G11" s="23" t="n">
        <f aca="false">'Qté 2027'!G11*$C11</f>
        <v>0</v>
      </c>
      <c r="H11" s="23" t="n">
        <f aca="false">'Qté 2027'!H11*$C11</f>
        <v>0</v>
      </c>
      <c r="I11" s="23" t="n">
        <f aca="false">'Qté 2027'!I11*$C11</f>
        <v>0</v>
      </c>
      <c r="J11" s="23" t="n">
        <f aca="false">'Qté 2027'!J11*$C11</f>
        <v>0</v>
      </c>
      <c r="K11" s="23" t="n">
        <f aca="false">'Qté 2027'!K11*$C11</f>
        <v>0.408</v>
      </c>
      <c r="L11" s="23" t="n">
        <f aca="false">'Qté 2027'!L11*$C11</f>
        <v>1.02</v>
      </c>
      <c r="M11" s="23" t="n">
        <f aca="false">'Qté 2027'!M11*$C11</f>
        <v>3.468</v>
      </c>
      <c r="N11" s="23" t="n">
        <f aca="false">'Qté 2027'!N11*$C11</f>
        <v>12.24</v>
      </c>
      <c r="O11" s="23" t="n">
        <f aca="false">'Qté 2027'!O11*$C11</f>
        <v>22.032</v>
      </c>
      <c r="P11" s="23" t="n">
        <f aca="false">'Qté 2027'!P11*$C11</f>
        <v>25.5</v>
      </c>
      <c r="Q11" s="23" t="n">
        <f aca="false">'Qté 2027'!Q11*$C11</f>
        <v>38.352</v>
      </c>
      <c r="R11" s="23" t="n">
        <f aca="false">'Qté 2027'!R11*$C11</f>
        <v>63.24</v>
      </c>
      <c r="S11" s="23" t="n">
        <f aca="false">'Qté 2027'!S11*$C11</f>
        <v>70.38</v>
      </c>
      <c r="T11" s="23" t="n">
        <f aca="false">'Qté 2027'!T11*$C11</f>
        <v>79.764</v>
      </c>
      <c r="U11" s="23" t="n">
        <f aca="false">'Qté 2027'!U11*$C11</f>
        <v>97.92</v>
      </c>
      <c r="V11" s="23" t="n">
        <f aca="false">'Qté 2027'!V11*$C11</f>
        <v>96.492</v>
      </c>
      <c r="W11" s="23" t="n">
        <f aca="false">'Qté 2027'!W11*$C11</f>
        <v>101.796</v>
      </c>
      <c r="X11" s="23" t="n">
        <f aca="false">'Qté 2027'!X11*$C11</f>
        <v>104.244</v>
      </c>
      <c r="Y11" s="23" t="n">
        <f aca="false">'Qté 2027'!Y11*$C11</f>
        <v>82.008</v>
      </c>
      <c r="Z11" s="23" t="n">
        <f aca="false">'Qté 2027'!Z11*$C11</f>
        <v>92.004</v>
      </c>
      <c r="AA11" s="23" t="n">
        <f aca="false">'Qté 2027'!AA11*$C11</f>
        <v>138.312</v>
      </c>
      <c r="AB11" s="23" t="n">
        <f aca="false">'Qté 2027'!AB11*$C11</f>
        <v>155.652</v>
      </c>
      <c r="AC11" s="23" t="n">
        <f aca="false">'Qté 2027'!AC11*$C11</f>
        <v>141.576</v>
      </c>
      <c r="AD11" s="23" t="n">
        <f aca="false">'Qté 2027'!AD11*$C11</f>
        <v>132.396</v>
      </c>
      <c r="AE11" s="23" t="n">
        <f aca="false">'Qté 2027'!AE11*$C11</f>
        <v>135.456</v>
      </c>
      <c r="AF11" s="23" t="n">
        <f aca="false">'Qté 2027'!AF11*$C11</f>
        <v>125.052</v>
      </c>
      <c r="AG11" s="23" t="n">
        <f aca="false">'Qté 2027'!AG11*$C11</f>
        <v>104.448</v>
      </c>
      <c r="AH11" s="23" t="n">
        <f aca="false">'Qté 2027'!AH11*$C11</f>
        <v>108.12</v>
      </c>
      <c r="AI11" s="23" t="n">
        <f aca="false">'Qté 2027'!AI11*$C11</f>
        <v>106.488</v>
      </c>
      <c r="AJ11" s="23" t="n">
        <f aca="false">'Qté 2027'!AJ11*$C11</f>
        <v>62.016</v>
      </c>
      <c r="AK11" s="23" t="n">
        <f aca="false">'Qté 2027'!AK11*$C11</f>
        <v>27.132</v>
      </c>
      <c r="AL11" s="23" t="n">
        <f aca="false">'Qté 2027'!AL11*$C11</f>
        <v>34.884</v>
      </c>
      <c r="AM11" s="23" t="n">
        <f aca="false">'Qté 2027'!AM11*$C11</f>
        <v>35.904</v>
      </c>
      <c r="AN11" s="23" t="n">
        <f aca="false">'Qté 2027'!AN11*$C11</f>
        <v>18.972</v>
      </c>
      <c r="AO11" s="23" t="n">
        <f aca="false">'Qté 2027'!AO11*$C11</f>
        <v>16.524</v>
      </c>
      <c r="AP11" s="23" t="n">
        <f aca="false">'Qté 2027'!AP11*$C11</f>
        <v>18.564</v>
      </c>
      <c r="AQ11" s="23" t="n">
        <f aca="false">'Qté 2027'!AQ11*$C11</f>
        <v>12.852</v>
      </c>
      <c r="AR11" s="23" t="n">
        <f aca="false">'Qté 2027'!AR11*$C11</f>
        <v>12.444</v>
      </c>
      <c r="AS11" s="23" t="n">
        <f aca="false">'Qté 2027'!AS11*$C11</f>
        <v>12.444</v>
      </c>
      <c r="AT11" s="23" t="n">
        <f aca="false">'Qté 2027'!AT11*$C11</f>
        <v>14.28</v>
      </c>
      <c r="AU11" s="23" t="n">
        <f aca="false">'Qté 2027'!AU11*$C11</f>
        <v>18.36</v>
      </c>
      <c r="AV11" s="23" t="n">
        <f aca="false">'Qté 2027'!AV11*$C11</f>
        <v>12.444</v>
      </c>
      <c r="AW11" s="23" t="n">
        <f aca="false">'Qté 2027'!AW11*$C11</f>
        <v>6.732</v>
      </c>
      <c r="AX11" s="23" t="n">
        <f aca="false">'Qté 2027'!AX11*$C11</f>
        <v>6.732</v>
      </c>
      <c r="AY11" s="23" t="n">
        <f aca="false">'Qté 2027'!AY11*$C11</f>
        <v>5.1</v>
      </c>
      <c r="AZ11" s="23" t="n">
        <f aca="false">'Qté 2027'!AZ11*$C11</f>
        <v>1.632</v>
      </c>
      <c r="BA11" s="23" t="n">
        <f aca="false">'Qté 2027'!BA11*$C11</f>
        <v>2.448</v>
      </c>
      <c r="BB11" s="23" t="n">
        <f aca="false">'Qté 2027'!BB11*$C11</f>
        <v>4.692</v>
      </c>
      <c r="BC11" s="23" t="n">
        <f aca="false">'Qté 2027'!BC11*$C11</f>
        <v>2.448</v>
      </c>
      <c r="BD11" s="15" t="n">
        <f aca="false">SUM(D11:BC11)</f>
        <v>2364.972</v>
      </c>
    </row>
    <row r="12" customFormat="false" ht="15" hidden="false" customHeight="false" outlineLevel="0" collapsed="false">
      <c r="A12" s="5" t="s">
        <v>186</v>
      </c>
      <c r="B12" s="5" t="s">
        <v>51</v>
      </c>
      <c r="C12" s="22" t="n">
        <v>45.1</v>
      </c>
      <c r="D12" s="23" t="n">
        <f aca="false">'Qté 2027'!D12*$C12</f>
        <v>0</v>
      </c>
      <c r="E12" s="23" t="n">
        <f aca="false">'Qté 2027'!E12*$C12</f>
        <v>0</v>
      </c>
      <c r="F12" s="23" t="n">
        <f aca="false">'Qté 2027'!F12*$C12</f>
        <v>0</v>
      </c>
      <c r="G12" s="23" t="n">
        <f aca="false">'Qté 2027'!G12*$C12</f>
        <v>0</v>
      </c>
      <c r="H12" s="23" t="n">
        <f aca="false">'Qté 2027'!H12*$C12</f>
        <v>0</v>
      </c>
      <c r="I12" s="23" t="n">
        <f aca="false">'Qté 2027'!I12*$C12</f>
        <v>0</v>
      </c>
      <c r="J12" s="23" t="n">
        <f aca="false">'Qté 2027'!J12*$C12</f>
        <v>0</v>
      </c>
      <c r="K12" s="23" t="n">
        <f aca="false">'Qté 2027'!K12*$C12</f>
        <v>0</v>
      </c>
      <c r="L12" s="23" t="n">
        <f aca="false">'Qté 2027'!L12*$C12</f>
        <v>0</v>
      </c>
      <c r="M12" s="23" t="n">
        <f aca="false">'Qté 2027'!M12*$C12</f>
        <v>0</v>
      </c>
      <c r="N12" s="23" t="n">
        <f aca="false">'Qté 2027'!N12*$C12</f>
        <v>9.02</v>
      </c>
      <c r="O12" s="23" t="n">
        <f aca="false">'Qté 2027'!O12*$C12</f>
        <v>18.491</v>
      </c>
      <c r="P12" s="23" t="n">
        <f aca="false">'Qté 2027'!P12*$C12</f>
        <v>18.04</v>
      </c>
      <c r="Q12" s="23" t="n">
        <f aca="false">'Qté 2027'!Q12*$C12</f>
        <v>40.59</v>
      </c>
      <c r="R12" s="23" t="n">
        <f aca="false">'Qté 2027'!R12*$C12</f>
        <v>67.65</v>
      </c>
      <c r="S12" s="23" t="n">
        <f aca="false">'Qté 2027'!S12*$C12</f>
        <v>47.806</v>
      </c>
      <c r="T12" s="23" t="n">
        <f aca="false">'Qté 2027'!T12*$C12</f>
        <v>19.844</v>
      </c>
      <c r="U12" s="23" t="n">
        <f aca="false">'Qté 2027'!U12*$C12</f>
        <v>24.805</v>
      </c>
      <c r="V12" s="23" t="n">
        <f aca="false">'Qté 2027'!V12*$C12</f>
        <v>34.276</v>
      </c>
      <c r="W12" s="23" t="n">
        <f aca="false">'Qté 2027'!W12*$C12</f>
        <v>52.316</v>
      </c>
      <c r="X12" s="23" t="n">
        <f aca="false">'Qté 2027'!X12*$C12</f>
        <v>91.553</v>
      </c>
      <c r="Y12" s="23" t="n">
        <f aca="false">'Qté 2027'!Y12*$C12</f>
        <v>91.553</v>
      </c>
      <c r="Z12" s="23" t="n">
        <f aca="false">'Qté 2027'!Z12*$C12</f>
        <v>77.121</v>
      </c>
      <c r="AA12" s="23" t="n">
        <f aca="false">'Qté 2027'!AA12*$C12</f>
        <v>110.044</v>
      </c>
      <c r="AB12" s="23" t="n">
        <f aca="false">'Qté 2027'!AB12*$C12</f>
        <v>167.772</v>
      </c>
      <c r="AC12" s="23" t="n">
        <f aca="false">'Qté 2027'!AC12*$C12</f>
        <v>226.402</v>
      </c>
      <c r="AD12" s="23" t="n">
        <f aca="false">'Qté 2027'!AD12*$C12</f>
        <v>242.638</v>
      </c>
      <c r="AE12" s="23" t="n">
        <f aca="false">'Qté 2027'!AE12*$C12</f>
        <v>187.165</v>
      </c>
      <c r="AF12" s="23" t="n">
        <f aca="false">'Qté 2027'!AF12*$C12</f>
        <v>117.711</v>
      </c>
      <c r="AG12" s="23" t="n">
        <f aca="false">'Qté 2027'!AG12*$C12</f>
        <v>80.729</v>
      </c>
      <c r="AH12" s="23" t="n">
        <f aca="false">'Qté 2027'!AH12*$C12</f>
        <v>72.16</v>
      </c>
      <c r="AI12" s="23" t="n">
        <f aca="false">'Qté 2027'!AI12*$C12</f>
        <v>94.259</v>
      </c>
      <c r="AJ12" s="23" t="n">
        <f aca="false">'Qté 2027'!AJ12*$C12</f>
        <v>99.671</v>
      </c>
      <c r="AK12" s="23" t="n">
        <f aca="false">'Qté 2027'!AK12*$C12</f>
        <v>65.395</v>
      </c>
      <c r="AL12" s="23" t="n">
        <f aca="false">'Qté 2027'!AL12*$C12</f>
        <v>43.296</v>
      </c>
      <c r="AM12" s="23" t="n">
        <f aca="false">'Qté 2027'!AM12*$C12</f>
        <v>27.511</v>
      </c>
      <c r="AN12" s="23" t="n">
        <f aca="false">'Qté 2027'!AN12*$C12</f>
        <v>18.04</v>
      </c>
      <c r="AO12" s="23" t="n">
        <f aca="false">'Qté 2027'!AO12*$C12</f>
        <v>21.197</v>
      </c>
      <c r="AP12" s="23" t="n">
        <f aca="false">'Qté 2027'!AP12*$C12</f>
        <v>10.373</v>
      </c>
      <c r="AQ12" s="23" t="n">
        <f aca="false">'Qté 2027'!AQ12*$C12</f>
        <v>0</v>
      </c>
      <c r="AR12" s="23" t="n">
        <f aca="false">'Qté 2027'!AR12*$C12</f>
        <v>0</v>
      </c>
      <c r="AS12" s="23" t="n">
        <f aca="false">'Qté 2027'!AS12*$C12</f>
        <v>0</v>
      </c>
      <c r="AT12" s="23" t="n">
        <f aca="false">'Qté 2027'!AT12*$C12</f>
        <v>0</v>
      </c>
      <c r="AU12" s="23" t="n">
        <f aca="false">'Qté 2027'!AU12*$C12</f>
        <v>0</v>
      </c>
      <c r="AV12" s="23" t="n">
        <f aca="false">'Qté 2027'!AV12*$C12</f>
        <v>0</v>
      </c>
      <c r="AW12" s="23" t="n">
        <f aca="false">'Qté 2027'!AW12*$C12</f>
        <v>0</v>
      </c>
      <c r="AX12" s="23" t="n">
        <f aca="false">'Qté 2027'!AX12*$C12</f>
        <v>3.608</v>
      </c>
      <c r="AY12" s="23" t="n">
        <f aca="false">'Qté 2027'!AY12*$C12</f>
        <v>7.667</v>
      </c>
      <c r="AZ12" s="23" t="n">
        <f aca="false">'Qté 2027'!AZ12*$C12</f>
        <v>3.608</v>
      </c>
      <c r="BA12" s="23" t="n">
        <f aca="false">'Qté 2027'!BA12*$C12</f>
        <v>0</v>
      </c>
      <c r="BB12" s="23" t="n">
        <f aca="false">'Qté 2027'!BB12*$C12</f>
        <v>0</v>
      </c>
      <c r="BC12" s="23" t="n">
        <f aca="false">'Qté 2027'!BC12*$C12</f>
        <v>0</v>
      </c>
      <c r="BD12" s="15" t="n">
        <f aca="false">SUM(D12:BC12)</f>
        <v>2192.311</v>
      </c>
    </row>
    <row r="13" customFormat="false" ht="15" hidden="false" customHeight="false" outlineLevel="0" collapsed="false">
      <c r="A13" s="5" t="s">
        <v>187</v>
      </c>
      <c r="B13" s="5" t="s">
        <v>62</v>
      </c>
      <c r="C13" s="22" t="n">
        <v>57.76</v>
      </c>
      <c r="D13" s="23" t="n">
        <f aca="false">'Qté 2027'!D13*$C13</f>
        <v>0</v>
      </c>
      <c r="E13" s="23" t="n">
        <f aca="false">'Qté 2027'!E13*$C13</f>
        <v>0</v>
      </c>
      <c r="F13" s="23" t="n">
        <f aca="false">'Qté 2027'!F13*$C13</f>
        <v>0</v>
      </c>
      <c r="G13" s="23" t="n">
        <f aca="false">'Qté 2027'!G13*$C13</f>
        <v>0</v>
      </c>
      <c r="H13" s="23" t="n">
        <f aca="false">'Qté 2027'!H13*$C13</f>
        <v>0</v>
      </c>
      <c r="I13" s="23" t="n">
        <f aca="false">'Qté 2027'!I13*$C13</f>
        <v>0</v>
      </c>
      <c r="J13" s="23" t="n">
        <f aca="false">'Qté 2027'!J13*$C13</f>
        <v>0</v>
      </c>
      <c r="K13" s="23" t="n">
        <f aca="false">'Qté 2027'!K13*$C13</f>
        <v>0</v>
      </c>
      <c r="L13" s="23" t="n">
        <f aca="false">'Qté 2027'!L13*$C13</f>
        <v>0</v>
      </c>
      <c r="M13" s="23" t="n">
        <f aca="false">'Qté 2027'!M13*$C13</f>
        <v>0</v>
      </c>
      <c r="N13" s="23" t="n">
        <f aca="false">'Qté 2027'!N13*$C13</f>
        <v>3.4656</v>
      </c>
      <c r="O13" s="23" t="n">
        <f aca="false">'Qté 2027'!O13*$C13</f>
        <v>16.1728</v>
      </c>
      <c r="P13" s="23" t="n">
        <f aca="false">'Qté 2027'!P13*$C13</f>
        <v>23.104</v>
      </c>
      <c r="Q13" s="23" t="n">
        <f aca="false">'Qté 2027'!Q13*$C13</f>
        <v>36.9664</v>
      </c>
      <c r="R13" s="23" t="n">
        <f aca="false">'Qté 2027'!R13*$C13</f>
        <v>76.2432</v>
      </c>
      <c r="S13" s="23" t="n">
        <f aca="false">'Qté 2027'!S13*$C13</f>
        <v>93.5712</v>
      </c>
      <c r="T13" s="23" t="n">
        <f aca="false">'Qté 2027'!T13*$C13</f>
        <v>82.5968</v>
      </c>
      <c r="U13" s="23" t="n">
        <f aca="false">'Qté 2027'!U13*$C13</f>
        <v>58.3376</v>
      </c>
      <c r="V13" s="23" t="n">
        <f aca="false">'Qté 2027'!V13*$C13</f>
        <v>38.1216</v>
      </c>
      <c r="W13" s="23" t="n">
        <f aca="false">'Qté 2027'!W13*$C13</f>
        <v>56.6048</v>
      </c>
      <c r="X13" s="23" t="n">
        <f aca="false">'Qté 2027'!X13*$C13</f>
        <v>104.5456</v>
      </c>
      <c r="Y13" s="23" t="n">
        <f aca="false">'Qté 2027'!Y13*$C13</f>
        <v>125.3392</v>
      </c>
      <c r="Z13" s="23" t="n">
        <f aca="false">'Qté 2027'!Z13*$C13</f>
        <v>106.2784</v>
      </c>
      <c r="AA13" s="23" t="n">
        <f aca="false">'Qté 2027'!AA13*$C13</f>
        <v>118.9856</v>
      </c>
      <c r="AB13" s="23" t="n">
        <f aca="false">'Qté 2027'!AB13*$C13</f>
        <v>127.6496</v>
      </c>
      <c r="AC13" s="23" t="n">
        <f aca="false">'Qté 2027'!AC13*$C13</f>
        <v>112.0544</v>
      </c>
      <c r="AD13" s="23" t="n">
        <f aca="false">'Qté 2027'!AD13*$C13</f>
        <v>134.5808</v>
      </c>
      <c r="AE13" s="23" t="n">
        <f aca="false">'Qté 2027'!AE13*$C13</f>
        <v>146.7104</v>
      </c>
      <c r="AF13" s="23" t="n">
        <f aca="false">'Qté 2027'!AF13*$C13</f>
        <v>121.296</v>
      </c>
      <c r="AG13" s="23" t="n">
        <f aca="false">'Qté 2027'!AG13*$C13</f>
        <v>104.5456</v>
      </c>
      <c r="AH13" s="23" t="n">
        <f aca="false">'Qté 2027'!AH13*$C13</f>
        <v>112.0544</v>
      </c>
      <c r="AI13" s="23" t="n">
        <f aca="false">'Qté 2027'!AI13*$C13</f>
        <v>92.416</v>
      </c>
      <c r="AJ13" s="23" t="n">
        <f aca="false">'Qté 2027'!AJ13*$C13</f>
        <v>34.656</v>
      </c>
      <c r="AK13" s="23" t="n">
        <f aca="false">'Qté 2027'!AK13*$C13</f>
        <v>18.4832</v>
      </c>
      <c r="AL13" s="23" t="n">
        <f aca="false">'Qté 2027'!AL13*$C13</f>
        <v>42.1648</v>
      </c>
      <c r="AM13" s="23" t="n">
        <f aca="false">'Qté 2027'!AM13*$C13</f>
        <v>38.1216</v>
      </c>
      <c r="AN13" s="23" t="n">
        <f aca="false">'Qté 2027'!AN13*$C13</f>
        <v>11.552</v>
      </c>
      <c r="AO13" s="23" t="n">
        <f aca="false">'Qté 2027'!AO13*$C13</f>
        <v>0</v>
      </c>
      <c r="AP13" s="23" t="n">
        <f aca="false">'Qté 2027'!AP13*$C13</f>
        <v>0</v>
      </c>
      <c r="AQ13" s="23" t="n">
        <f aca="false">'Qté 2027'!AQ13*$C13</f>
        <v>4.6208</v>
      </c>
      <c r="AR13" s="23" t="n">
        <f aca="false">'Qté 2027'!AR13*$C13</f>
        <v>19.0608</v>
      </c>
      <c r="AS13" s="23" t="n">
        <f aca="false">'Qté 2027'!AS13*$C13</f>
        <v>24.2592</v>
      </c>
      <c r="AT13" s="23" t="n">
        <f aca="false">'Qté 2027'!AT13*$C13</f>
        <v>16.1728</v>
      </c>
      <c r="AU13" s="23" t="n">
        <f aca="false">'Qté 2027'!AU13*$C13</f>
        <v>18.4832</v>
      </c>
      <c r="AV13" s="23" t="n">
        <f aca="false">'Qté 2027'!AV13*$C13</f>
        <v>18.4832</v>
      </c>
      <c r="AW13" s="23" t="n">
        <f aca="false">'Qté 2027'!AW13*$C13</f>
        <v>8.664</v>
      </c>
      <c r="AX13" s="23" t="n">
        <f aca="false">'Qté 2027'!AX13*$C13</f>
        <v>1.7328</v>
      </c>
      <c r="AY13" s="23" t="n">
        <f aca="false">'Qté 2027'!AY13*$C13</f>
        <v>0</v>
      </c>
      <c r="AZ13" s="23" t="n">
        <f aca="false">'Qté 2027'!AZ13*$C13</f>
        <v>0</v>
      </c>
      <c r="BA13" s="23" t="n">
        <f aca="false">'Qté 2027'!BA13*$C13</f>
        <v>0</v>
      </c>
      <c r="BB13" s="23" t="n">
        <f aca="false">'Qté 2027'!BB13*$C13</f>
        <v>0</v>
      </c>
      <c r="BC13" s="23" t="n">
        <f aca="false">'Qté 2027'!BC13*$C13</f>
        <v>0</v>
      </c>
      <c r="BD13" s="15" t="n">
        <f aca="false">SUM(D13:BC13)</f>
        <v>2148.0944</v>
      </c>
    </row>
    <row r="14" customFormat="false" ht="15" hidden="false" customHeight="false" outlineLevel="0" collapsed="false">
      <c r="A14" s="5" t="s">
        <v>188</v>
      </c>
      <c r="B14" s="5" t="s">
        <v>69</v>
      </c>
      <c r="C14" s="22" t="n">
        <v>35.86</v>
      </c>
      <c r="D14" s="23" t="n">
        <f aca="false">'Qté 2027'!D14*$C14</f>
        <v>0</v>
      </c>
      <c r="E14" s="23" t="n">
        <f aca="false">'Qté 2027'!E14*$C14</f>
        <v>0</v>
      </c>
      <c r="F14" s="23" t="n">
        <f aca="false">'Qté 2027'!F14*$C14</f>
        <v>2.1516</v>
      </c>
      <c r="G14" s="23" t="n">
        <f aca="false">'Qté 2027'!G14*$C14</f>
        <v>3.9446</v>
      </c>
      <c r="H14" s="23" t="n">
        <f aca="false">'Qté 2027'!H14*$C14</f>
        <v>2.1516</v>
      </c>
      <c r="I14" s="23" t="n">
        <f aca="false">'Qté 2027'!I14*$C14</f>
        <v>0</v>
      </c>
      <c r="J14" s="23" t="n">
        <f aca="false">'Qté 2027'!J14*$C14</f>
        <v>0</v>
      </c>
      <c r="K14" s="23" t="n">
        <f aca="false">'Qté 2027'!K14*$C14</f>
        <v>0</v>
      </c>
      <c r="L14" s="23" t="n">
        <f aca="false">'Qté 2027'!L14*$C14</f>
        <v>0</v>
      </c>
      <c r="M14" s="23" t="n">
        <f aca="false">'Qté 2027'!M14*$C14</f>
        <v>0</v>
      </c>
      <c r="N14" s="23" t="n">
        <f aca="false">'Qté 2027'!N14*$C14</f>
        <v>12.9096</v>
      </c>
      <c r="O14" s="23" t="n">
        <f aca="false">'Qté 2027'!O14*$C14</f>
        <v>27.2536</v>
      </c>
      <c r="P14" s="23" t="n">
        <f aca="false">'Qté 2027'!P14*$C14</f>
        <v>22.5918</v>
      </c>
      <c r="Q14" s="23" t="n">
        <f aca="false">'Qté 2027'!Q14*$C14</f>
        <v>18.6472</v>
      </c>
      <c r="R14" s="23" t="n">
        <f aca="false">'Qté 2027'!R14*$C14</f>
        <v>24.3848</v>
      </c>
      <c r="S14" s="23" t="n">
        <f aca="false">'Qté 2027'!S14*$C14</f>
        <v>32.274</v>
      </c>
      <c r="T14" s="23" t="n">
        <f aca="false">'Qté 2027'!T14*$C14</f>
        <v>36.5772</v>
      </c>
      <c r="U14" s="23" t="n">
        <f aca="false">'Qté 2027'!U14*$C14</f>
        <v>43.3906</v>
      </c>
      <c r="V14" s="23" t="n">
        <f aca="false">'Qté 2027'!V14*$C14</f>
        <v>53.0728</v>
      </c>
      <c r="W14" s="23" t="n">
        <f aca="false">'Qté 2027'!W14*$C14</f>
        <v>62.755</v>
      </c>
      <c r="X14" s="23" t="n">
        <f aca="false">'Qté 2027'!X14*$C14</f>
        <v>78.892</v>
      </c>
      <c r="Y14" s="23" t="n">
        <f aca="false">'Qté 2027'!Y14*$C14</f>
        <v>84.9882</v>
      </c>
      <c r="Z14" s="23" t="n">
        <f aca="false">'Qté 2027'!Z14*$C14</f>
        <v>69.5684</v>
      </c>
      <c r="AA14" s="23" t="n">
        <f aca="false">'Qté 2027'!AA14*$C14</f>
        <v>59.5276</v>
      </c>
      <c r="AB14" s="23" t="n">
        <f aca="false">'Qté 2027'!AB14*$C14</f>
        <v>76.0232</v>
      </c>
      <c r="AC14" s="23" t="n">
        <f aca="false">'Qté 2027'!AC14*$C14</f>
        <v>107.9386</v>
      </c>
      <c r="AD14" s="23" t="n">
        <f aca="false">'Qté 2027'!AD14*$C14</f>
        <v>122.6412</v>
      </c>
      <c r="AE14" s="23" t="n">
        <f aca="false">'Qté 2027'!AE14*$C14</f>
        <v>108.6558</v>
      </c>
      <c r="AF14" s="23" t="n">
        <f aca="false">'Qté 2027'!AF14*$C14</f>
        <v>87.1398</v>
      </c>
      <c r="AG14" s="23" t="n">
        <f aca="false">'Qté 2027'!AG14*$C14</f>
        <v>62.0378</v>
      </c>
      <c r="AH14" s="23" t="n">
        <f aca="false">'Qté 2027'!AH14*$C14</f>
        <v>55.9416</v>
      </c>
      <c r="AI14" s="23" t="n">
        <f aca="false">'Qté 2027'!AI14*$C14</f>
        <v>83.9124</v>
      </c>
      <c r="AJ14" s="23" t="n">
        <f aca="false">'Qté 2027'!AJ14*$C14</f>
        <v>82.8366</v>
      </c>
      <c r="AK14" s="23" t="n">
        <f aca="false">'Qté 2027'!AK14*$C14</f>
        <v>49.4868</v>
      </c>
      <c r="AL14" s="23" t="n">
        <f aca="false">'Qté 2027'!AL14*$C14</f>
        <v>38.7288</v>
      </c>
      <c r="AM14" s="23" t="n">
        <f aca="false">'Qté 2027'!AM14*$C14</f>
        <v>31.5568</v>
      </c>
      <c r="AN14" s="23" t="n">
        <f aca="false">'Qté 2027'!AN14*$C14</f>
        <v>14.344</v>
      </c>
      <c r="AO14" s="23" t="n">
        <f aca="false">'Qté 2027'!AO14*$C14</f>
        <v>4.6618</v>
      </c>
      <c r="AP14" s="23" t="n">
        <f aca="false">'Qté 2027'!AP14*$C14</f>
        <v>4.3032</v>
      </c>
      <c r="AQ14" s="23" t="n">
        <f aca="false">'Qté 2027'!AQ14*$C14</f>
        <v>4.6618</v>
      </c>
      <c r="AR14" s="23" t="n">
        <f aca="false">'Qté 2027'!AR14*$C14</f>
        <v>8.965</v>
      </c>
      <c r="AS14" s="23" t="n">
        <f aca="false">'Qté 2027'!AS14*$C14</f>
        <v>16.137</v>
      </c>
      <c r="AT14" s="23" t="n">
        <f aca="false">'Qté 2027'!AT14*$C14</f>
        <v>11.8338</v>
      </c>
      <c r="AU14" s="23" t="n">
        <f aca="false">'Qté 2027'!AU14*$C14</f>
        <v>4.3032</v>
      </c>
      <c r="AV14" s="23" t="n">
        <f aca="false">'Qté 2027'!AV14*$C14</f>
        <v>2.5102</v>
      </c>
      <c r="AW14" s="23" t="n">
        <f aca="false">'Qté 2027'!AW14*$C14</f>
        <v>2.5102</v>
      </c>
      <c r="AX14" s="23" t="n">
        <f aca="false">'Qté 2027'!AX14*$C14</f>
        <v>5.379</v>
      </c>
      <c r="AY14" s="23" t="n">
        <f aca="false">'Qté 2027'!AY14*$C14</f>
        <v>8.2478</v>
      </c>
      <c r="AZ14" s="23" t="n">
        <f aca="false">'Qté 2027'!AZ14*$C14</f>
        <v>4.3032</v>
      </c>
      <c r="BA14" s="23" t="n">
        <f aca="false">'Qté 2027'!BA14*$C14</f>
        <v>0</v>
      </c>
      <c r="BB14" s="23" t="n">
        <f aca="false">'Qté 2027'!BB14*$C14</f>
        <v>0</v>
      </c>
      <c r="BC14" s="23" t="n">
        <f aca="false">'Qté 2027'!BC14*$C14</f>
        <v>0</v>
      </c>
      <c r="BD14" s="15" t="n">
        <f aca="false">SUM(D14:BC14)</f>
        <v>1634.1402</v>
      </c>
    </row>
    <row r="15" customFormat="false" ht="15" hidden="false" customHeight="false" outlineLevel="0" collapsed="false">
      <c r="A15" s="5" t="s">
        <v>189</v>
      </c>
      <c r="B15" s="5" t="s">
        <v>45</v>
      </c>
      <c r="C15" s="22" t="n">
        <v>17.99</v>
      </c>
      <c r="D15" s="23" t="n">
        <f aca="false">'Qté 2027'!D15*$C15</f>
        <v>0</v>
      </c>
      <c r="E15" s="23" t="n">
        <f aca="false">'Qté 2027'!E15*$C15</f>
        <v>0</v>
      </c>
      <c r="F15" s="23" t="n">
        <f aca="false">'Qté 2027'!F15*$C15</f>
        <v>0</v>
      </c>
      <c r="G15" s="23" t="n">
        <f aca="false">'Qté 2027'!G15*$C15</f>
        <v>0</v>
      </c>
      <c r="H15" s="23" t="n">
        <f aca="false">'Qté 2027'!H15*$C15</f>
        <v>0</v>
      </c>
      <c r="I15" s="23" t="n">
        <f aca="false">'Qté 2027'!I15*$C15</f>
        <v>0</v>
      </c>
      <c r="J15" s="23" t="n">
        <f aca="false">'Qté 2027'!J15*$C15</f>
        <v>0</v>
      </c>
      <c r="K15" s="23" t="n">
        <f aca="false">'Qté 2027'!K15*$C15</f>
        <v>0</v>
      </c>
      <c r="L15" s="23" t="n">
        <f aca="false">'Qté 2027'!L15*$C15</f>
        <v>0</v>
      </c>
      <c r="M15" s="23" t="n">
        <f aca="false">'Qté 2027'!M15*$C15</f>
        <v>0</v>
      </c>
      <c r="N15" s="23" t="n">
        <f aca="false">'Qté 2027'!N15*$C15</f>
        <v>1.6191</v>
      </c>
      <c r="O15" s="23" t="n">
        <f aca="false">'Qté 2027'!O15*$C15</f>
        <v>5.2171</v>
      </c>
      <c r="P15" s="23" t="n">
        <f aca="false">'Qté 2027'!P15*$C15</f>
        <v>10.0744</v>
      </c>
      <c r="Q15" s="23" t="n">
        <f aca="false">'Qté 2027'!Q15*$C15</f>
        <v>15.8312</v>
      </c>
      <c r="R15" s="23" t="n">
        <f aca="false">'Qté 2027'!R15*$C15</f>
        <v>18.8895</v>
      </c>
      <c r="S15" s="23" t="n">
        <f aca="false">'Qté 2027'!S15*$C15</f>
        <v>19.789</v>
      </c>
      <c r="T15" s="23" t="n">
        <f aca="false">'Qté 2027'!T15*$C15</f>
        <v>32.5619</v>
      </c>
      <c r="U15" s="23" t="n">
        <f aca="false">'Qté 2027'!U15*$C15</f>
        <v>49.1127</v>
      </c>
      <c r="V15" s="23" t="n">
        <f aca="false">'Qté 2027'!V15*$C15</f>
        <v>54.1499</v>
      </c>
      <c r="W15" s="23" t="n">
        <f aca="false">'Qté 2027'!W15*$C15</f>
        <v>58.2876</v>
      </c>
      <c r="X15" s="23" t="n">
        <f aca="false">'Qté 2027'!X15*$C15</f>
        <v>61.3459</v>
      </c>
      <c r="Y15" s="23" t="n">
        <f aca="false">'Qté 2027'!Y15*$C15</f>
        <v>62.4253</v>
      </c>
      <c r="Z15" s="23" t="n">
        <f aca="false">'Qté 2027'!Z15*$C15</f>
        <v>59.0072</v>
      </c>
      <c r="AA15" s="23" t="n">
        <f aca="false">'Qté 2027'!AA15*$C15</f>
        <v>60.4464</v>
      </c>
      <c r="AB15" s="23" t="n">
        <f aca="false">'Qté 2027'!AB15*$C15</f>
        <v>74.4786</v>
      </c>
      <c r="AC15" s="23" t="n">
        <f aca="false">'Qté 2027'!AC15*$C15</f>
        <v>93.7279</v>
      </c>
      <c r="AD15" s="23" t="n">
        <f aca="false">'Qté 2027'!AD15*$C15</f>
        <v>109.1993</v>
      </c>
      <c r="AE15" s="23" t="n">
        <f aca="false">'Qté 2027'!AE15*$C15</f>
        <v>91.9289</v>
      </c>
      <c r="AF15" s="23" t="n">
        <f aca="false">'Qté 2027'!AF15*$C15</f>
        <v>56.6685</v>
      </c>
      <c r="AG15" s="23" t="n">
        <f aca="false">'Qté 2027'!AG15*$C15</f>
        <v>42.4564</v>
      </c>
      <c r="AH15" s="23" t="n">
        <f aca="false">'Qté 2027'!AH15*$C15</f>
        <v>50.7318</v>
      </c>
      <c r="AI15" s="23" t="n">
        <f aca="false">'Qté 2027'!AI15*$C15</f>
        <v>63.6846</v>
      </c>
      <c r="AJ15" s="23" t="n">
        <f aca="false">'Qté 2027'!AJ15*$C15</f>
        <v>55.9489</v>
      </c>
      <c r="AK15" s="23" t="n">
        <f aca="false">'Qté 2027'!AK15*$C15</f>
        <v>29.5036</v>
      </c>
      <c r="AL15" s="23" t="n">
        <f aca="false">'Qté 2027'!AL15*$C15</f>
        <v>18.1699</v>
      </c>
      <c r="AM15" s="23" t="n">
        <f aca="false">'Qté 2027'!AM15*$C15</f>
        <v>17.99</v>
      </c>
      <c r="AN15" s="23" t="n">
        <f aca="false">'Qté 2027'!AN15*$C15</f>
        <v>11.3337</v>
      </c>
      <c r="AO15" s="23" t="n">
        <f aca="false">'Qté 2027'!AO15*$C15</f>
        <v>3.598</v>
      </c>
      <c r="AP15" s="23" t="n">
        <f aca="false">'Qté 2027'!AP15*$C15</f>
        <v>1.4392</v>
      </c>
      <c r="AQ15" s="23" t="n">
        <f aca="false">'Qté 2027'!AQ15*$C15</f>
        <v>3.0583</v>
      </c>
      <c r="AR15" s="23" t="n">
        <f aca="false">'Qté 2027'!AR15*$C15</f>
        <v>3.0583</v>
      </c>
      <c r="AS15" s="23" t="n">
        <f aca="false">'Qté 2027'!AS15*$C15</f>
        <v>4.4975</v>
      </c>
      <c r="AT15" s="23" t="n">
        <f aca="false">'Qté 2027'!AT15*$C15</f>
        <v>4.4975</v>
      </c>
      <c r="AU15" s="23" t="n">
        <f aca="false">'Qté 2027'!AU15*$C15</f>
        <v>1.4392</v>
      </c>
      <c r="AV15" s="23" t="n">
        <f aca="false">'Qté 2027'!AV15*$C15</f>
        <v>1.4392</v>
      </c>
      <c r="AW15" s="23" t="n">
        <f aca="false">'Qté 2027'!AW15*$C15</f>
        <v>3.0583</v>
      </c>
      <c r="AX15" s="23" t="n">
        <f aca="false">'Qté 2027'!AX15*$C15</f>
        <v>1.4392</v>
      </c>
      <c r="AY15" s="23" t="n">
        <f aca="false">'Qté 2027'!AY15*$C15</f>
        <v>0</v>
      </c>
      <c r="AZ15" s="23" t="n">
        <f aca="false">'Qté 2027'!AZ15*$C15</f>
        <v>0</v>
      </c>
      <c r="BA15" s="23" t="n">
        <f aca="false">'Qté 2027'!BA15*$C15</f>
        <v>0</v>
      </c>
      <c r="BB15" s="23" t="n">
        <f aca="false">'Qté 2027'!BB15*$C15</f>
        <v>0</v>
      </c>
      <c r="BC15" s="23" t="n">
        <f aca="false">'Qté 2027'!BC15*$C15</f>
        <v>0</v>
      </c>
      <c r="BD15" s="15" t="n">
        <f aca="false">SUM(D15:BC15)</f>
        <v>1252.104</v>
      </c>
    </row>
    <row r="16" customFormat="false" ht="15" hidden="false" customHeight="false" outlineLevel="0" collapsed="false">
      <c r="A16" s="5" t="s">
        <v>190</v>
      </c>
      <c r="B16" s="5" t="s">
        <v>69</v>
      </c>
      <c r="C16" s="22" t="n">
        <v>60</v>
      </c>
      <c r="D16" s="23" t="n">
        <f aca="false">'Qté 2027'!D16*$C16</f>
        <v>0</v>
      </c>
      <c r="E16" s="23" t="n">
        <f aca="false">'Qté 2027'!E16*$C16</f>
        <v>0</v>
      </c>
      <c r="F16" s="23" t="n">
        <f aca="false">'Qté 2027'!F16*$C16</f>
        <v>0</v>
      </c>
      <c r="G16" s="23" t="n">
        <f aca="false">'Qté 2027'!G16*$C16</f>
        <v>0</v>
      </c>
      <c r="H16" s="23" t="n">
        <f aca="false">'Qté 2027'!H16*$C16</f>
        <v>0</v>
      </c>
      <c r="I16" s="23" t="n">
        <f aca="false">'Qté 2027'!I16*$C16</f>
        <v>0</v>
      </c>
      <c r="J16" s="23" t="n">
        <f aca="false">'Qté 2027'!J16*$C16</f>
        <v>0</v>
      </c>
      <c r="K16" s="23" t="n">
        <f aca="false">'Qté 2027'!K16*$C16</f>
        <v>0</v>
      </c>
      <c r="L16" s="23" t="n">
        <f aca="false">'Qté 2027'!L16*$C16</f>
        <v>0</v>
      </c>
      <c r="M16" s="23" t="n">
        <f aca="false">'Qté 2027'!M16*$C16</f>
        <v>0</v>
      </c>
      <c r="N16" s="23" t="n">
        <f aca="false">'Qté 2027'!N16*$C16</f>
        <v>0</v>
      </c>
      <c r="O16" s="23" t="n">
        <f aca="false">'Qté 2027'!O16*$C16</f>
        <v>0</v>
      </c>
      <c r="P16" s="23" t="n">
        <f aca="false">'Qté 2027'!P16*$C16</f>
        <v>0</v>
      </c>
      <c r="Q16" s="23" t="n">
        <f aca="false">'Qté 2027'!Q16*$C16</f>
        <v>4.8</v>
      </c>
      <c r="R16" s="23" t="n">
        <f aca="false">'Qté 2027'!R16*$C16</f>
        <v>21</v>
      </c>
      <c r="S16" s="23" t="n">
        <f aca="false">'Qté 2027'!S16*$C16</f>
        <v>27.6</v>
      </c>
      <c r="T16" s="23" t="n">
        <f aca="false">'Qté 2027'!T16*$C16</f>
        <v>21</v>
      </c>
      <c r="U16" s="23" t="n">
        <f aca="false">'Qté 2027'!U16*$C16</f>
        <v>30.6</v>
      </c>
      <c r="V16" s="23" t="n">
        <f aca="false">'Qté 2027'!V16*$C16</f>
        <v>66.6</v>
      </c>
      <c r="W16" s="23" t="n">
        <f aca="false">'Qté 2027'!W16*$C16</f>
        <v>88.2</v>
      </c>
      <c r="X16" s="23" t="n">
        <f aca="false">'Qté 2027'!X16*$C16</f>
        <v>55.2</v>
      </c>
      <c r="Y16" s="23" t="n">
        <f aca="false">'Qté 2027'!Y16*$C16</f>
        <v>35.4</v>
      </c>
      <c r="Z16" s="23" t="n">
        <f aca="false">'Qté 2027'!Z16*$C16</f>
        <v>52.2</v>
      </c>
      <c r="AA16" s="23" t="n">
        <f aca="false">'Qté 2027'!AA16*$C16</f>
        <v>43.2</v>
      </c>
      <c r="AB16" s="23" t="n">
        <f aca="false">'Qté 2027'!AB16*$C16</f>
        <v>25.8</v>
      </c>
      <c r="AC16" s="23" t="n">
        <f aca="false">'Qté 2027'!AC16*$C16</f>
        <v>46.8</v>
      </c>
      <c r="AD16" s="23" t="n">
        <f aca="false">'Qté 2027'!AD16*$C16</f>
        <v>72</v>
      </c>
      <c r="AE16" s="23" t="n">
        <f aca="false">'Qté 2027'!AE16*$C16</f>
        <v>68.4</v>
      </c>
      <c r="AF16" s="23" t="n">
        <f aca="false">'Qté 2027'!AF16*$C16</f>
        <v>82.8</v>
      </c>
      <c r="AG16" s="23" t="n">
        <f aca="false">'Qté 2027'!AG16*$C16</f>
        <v>78</v>
      </c>
      <c r="AH16" s="23" t="n">
        <f aca="false">'Qté 2027'!AH16*$C16</f>
        <v>39</v>
      </c>
      <c r="AI16" s="23" t="n">
        <f aca="false">'Qté 2027'!AI16*$C16</f>
        <v>39</v>
      </c>
      <c r="AJ16" s="23" t="n">
        <f aca="false">'Qté 2027'!AJ16*$C16</f>
        <v>42</v>
      </c>
      <c r="AK16" s="23" t="n">
        <f aca="false">'Qté 2027'!AK16*$C16</f>
        <v>30</v>
      </c>
      <c r="AL16" s="23" t="n">
        <f aca="false">'Qté 2027'!AL16*$C16</f>
        <v>51.6</v>
      </c>
      <c r="AM16" s="23" t="n">
        <f aca="false">'Qté 2027'!AM16*$C16</f>
        <v>63.6</v>
      </c>
      <c r="AN16" s="23" t="n">
        <f aca="false">'Qté 2027'!AN16*$C16</f>
        <v>31.8</v>
      </c>
      <c r="AO16" s="23" t="n">
        <f aca="false">'Qté 2027'!AO16*$C16</f>
        <v>4.8</v>
      </c>
      <c r="AP16" s="23" t="n">
        <f aca="false">'Qté 2027'!AP16*$C16</f>
        <v>0</v>
      </c>
      <c r="AQ16" s="23" t="n">
        <f aca="false">'Qté 2027'!AQ16*$C16</f>
        <v>4.8</v>
      </c>
      <c r="AR16" s="23" t="n">
        <f aca="false">'Qté 2027'!AR16*$C16</f>
        <v>10.2</v>
      </c>
      <c r="AS16" s="23" t="n">
        <f aca="false">'Qté 2027'!AS16*$C16</f>
        <v>4.8</v>
      </c>
      <c r="AT16" s="23" t="n">
        <f aca="false">'Qté 2027'!AT16*$C16</f>
        <v>0</v>
      </c>
      <c r="AU16" s="23" t="n">
        <f aca="false">'Qté 2027'!AU16*$C16</f>
        <v>0</v>
      </c>
      <c r="AV16" s="23" t="n">
        <f aca="false">'Qté 2027'!AV16*$C16</f>
        <v>0</v>
      </c>
      <c r="AW16" s="23" t="n">
        <f aca="false">'Qté 2027'!AW16*$C16</f>
        <v>0</v>
      </c>
      <c r="AX16" s="23" t="n">
        <f aca="false">'Qté 2027'!AX16*$C16</f>
        <v>4.8</v>
      </c>
      <c r="AY16" s="23" t="n">
        <f aca="false">'Qté 2027'!AY16*$C16</f>
        <v>10.2</v>
      </c>
      <c r="AZ16" s="23" t="n">
        <f aca="false">'Qté 2027'!AZ16*$C16</f>
        <v>4.8</v>
      </c>
      <c r="BA16" s="23" t="n">
        <f aca="false">'Qté 2027'!BA16*$C16</f>
        <v>4.8</v>
      </c>
      <c r="BB16" s="23" t="n">
        <f aca="false">'Qté 2027'!BB16*$C16</f>
        <v>10.2</v>
      </c>
      <c r="BC16" s="23" t="n">
        <f aca="false">'Qté 2027'!BC16*$C16</f>
        <v>4.8</v>
      </c>
      <c r="BD16" s="15" t="n">
        <f aca="false">SUM(D16:BC16)</f>
        <v>1180.8</v>
      </c>
    </row>
    <row r="17" customFormat="false" ht="15" hidden="false" customHeight="false" outlineLevel="0" collapsed="false">
      <c r="A17" s="5" t="s">
        <v>191</v>
      </c>
      <c r="B17" s="5" t="s">
        <v>62</v>
      </c>
      <c r="C17" s="22" t="n">
        <v>38.04</v>
      </c>
      <c r="D17" s="23" t="n">
        <f aca="false">'Qté 2027'!D17*$C17</f>
        <v>0</v>
      </c>
      <c r="E17" s="23" t="n">
        <f aca="false">'Qté 2027'!E17*$C17</f>
        <v>0</v>
      </c>
      <c r="F17" s="23" t="n">
        <f aca="false">'Qté 2027'!F17*$C17</f>
        <v>0</v>
      </c>
      <c r="G17" s="23" t="n">
        <f aca="false">'Qté 2027'!G17*$C17</f>
        <v>0</v>
      </c>
      <c r="H17" s="23" t="n">
        <f aca="false">'Qté 2027'!H17*$C17</f>
        <v>0</v>
      </c>
      <c r="I17" s="23" t="n">
        <f aca="false">'Qté 2027'!I17*$C17</f>
        <v>0</v>
      </c>
      <c r="J17" s="23" t="n">
        <f aca="false">'Qté 2027'!J17*$C17</f>
        <v>0</v>
      </c>
      <c r="K17" s="23" t="n">
        <f aca="false">'Qté 2027'!K17*$C17</f>
        <v>0</v>
      </c>
      <c r="L17" s="23" t="n">
        <f aca="false">'Qté 2027'!L17*$C17</f>
        <v>0</v>
      </c>
      <c r="M17" s="23" t="n">
        <f aca="false">'Qté 2027'!M17*$C17</f>
        <v>3.4236</v>
      </c>
      <c r="N17" s="23" t="n">
        <f aca="false">'Qté 2027'!N17*$C17</f>
        <v>6.8472</v>
      </c>
      <c r="O17" s="23" t="n">
        <f aca="false">'Qté 2027'!O17*$C17</f>
        <v>3.4236</v>
      </c>
      <c r="P17" s="23" t="n">
        <f aca="false">'Qté 2027'!P17*$C17</f>
        <v>3.4236</v>
      </c>
      <c r="Q17" s="23" t="n">
        <f aca="false">'Qté 2027'!Q17*$C17</f>
        <v>12.9336</v>
      </c>
      <c r="R17" s="23" t="n">
        <f aca="false">'Qté 2027'!R17*$C17</f>
        <v>22.0632</v>
      </c>
      <c r="S17" s="23" t="n">
        <f aca="false">'Qté 2027'!S17*$C17</f>
        <v>25.4868</v>
      </c>
      <c r="T17" s="23" t="n">
        <f aca="false">'Qté 2027'!T17*$C17</f>
        <v>28.9104</v>
      </c>
      <c r="U17" s="23" t="n">
        <f aca="false">'Qté 2027'!U17*$C17</f>
        <v>40.7028</v>
      </c>
      <c r="V17" s="23" t="n">
        <f aca="false">'Qté 2027'!V17*$C17</f>
        <v>47.1696</v>
      </c>
      <c r="W17" s="23" t="n">
        <f aca="false">'Qté 2027'!W17*$C17</f>
        <v>45.648</v>
      </c>
      <c r="X17" s="23" t="n">
        <f aca="false">'Qté 2027'!X17*$C17</f>
        <v>73.4172</v>
      </c>
      <c r="Y17" s="23" t="n">
        <f aca="false">'Qté 2027'!Y17*$C17</f>
        <v>100.4256</v>
      </c>
      <c r="Z17" s="23" t="n">
        <f aca="false">'Qté 2027'!Z17*$C17</f>
        <v>85.59</v>
      </c>
      <c r="AA17" s="23" t="n">
        <f aca="false">'Qté 2027'!AA17*$C17</f>
        <v>54.0168</v>
      </c>
      <c r="AB17" s="23" t="n">
        <f aca="false">'Qté 2027'!AB17*$C17</f>
        <v>38.8008</v>
      </c>
      <c r="AC17" s="23" t="n">
        <f aca="false">'Qté 2027'!AC17*$C17</f>
        <v>49.0716</v>
      </c>
      <c r="AD17" s="23" t="n">
        <f aca="false">'Qté 2027'!AD17*$C17</f>
        <v>62.766</v>
      </c>
      <c r="AE17" s="23" t="n">
        <f aca="false">'Qté 2027'!AE17*$C17</f>
        <v>75.3192</v>
      </c>
      <c r="AF17" s="23" t="n">
        <f aca="false">'Qté 2027'!AF17*$C17</f>
        <v>63.9072</v>
      </c>
      <c r="AG17" s="23" t="n">
        <f aca="false">'Qté 2027'!AG17*$C17</f>
        <v>30.8124</v>
      </c>
      <c r="AH17" s="23" t="n">
        <f aca="false">'Qté 2027'!AH17*$C17</f>
        <v>26.628</v>
      </c>
      <c r="AI17" s="23" t="n">
        <f aca="false">'Qté 2027'!AI17*$C17</f>
        <v>35.3772</v>
      </c>
      <c r="AJ17" s="23" t="n">
        <f aca="false">'Qté 2027'!AJ17*$C17</f>
        <v>22.0632</v>
      </c>
      <c r="AK17" s="23" t="n">
        <f aca="false">'Qté 2027'!AK17*$C17</f>
        <v>4.5648</v>
      </c>
      <c r="AL17" s="23" t="n">
        <f aca="false">'Qté 2027'!AL17*$C17</f>
        <v>13.314</v>
      </c>
      <c r="AM17" s="23" t="n">
        <f aca="false">'Qté 2027'!AM17*$C17</f>
        <v>30.8124</v>
      </c>
      <c r="AN17" s="23" t="n">
        <f aca="false">'Qté 2027'!AN17*$C17</f>
        <v>35.3772</v>
      </c>
      <c r="AO17" s="23" t="n">
        <f aca="false">'Qté 2027'!AO17*$C17</f>
        <v>35.3772</v>
      </c>
      <c r="AP17" s="23" t="n">
        <f aca="false">'Qté 2027'!AP17*$C17</f>
        <v>22.0632</v>
      </c>
      <c r="AQ17" s="23" t="n">
        <f aca="false">'Qté 2027'!AQ17*$C17</f>
        <v>13.314</v>
      </c>
      <c r="AR17" s="23" t="n">
        <f aca="false">'Qté 2027'!AR17*$C17</f>
        <v>17.8788</v>
      </c>
      <c r="AS17" s="23" t="n">
        <f aca="false">'Qté 2027'!AS17*$C17</f>
        <v>8.7492</v>
      </c>
      <c r="AT17" s="23" t="n">
        <f aca="false">'Qté 2027'!AT17*$C17</f>
        <v>0</v>
      </c>
      <c r="AU17" s="23" t="n">
        <f aca="false">'Qté 2027'!AU17*$C17</f>
        <v>0</v>
      </c>
      <c r="AV17" s="23" t="n">
        <f aca="false">'Qté 2027'!AV17*$C17</f>
        <v>0</v>
      </c>
      <c r="AW17" s="23" t="n">
        <f aca="false">'Qté 2027'!AW17*$C17</f>
        <v>0</v>
      </c>
      <c r="AX17" s="23" t="n">
        <f aca="false">'Qté 2027'!AX17*$C17</f>
        <v>0</v>
      </c>
      <c r="AY17" s="23" t="n">
        <f aca="false">'Qté 2027'!AY17*$C17</f>
        <v>0</v>
      </c>
      <c r="AZ17" s="23" t="n">
        <f aca="false">'Qté 2027'!AZ17*$C17</f>
        <v>0</v>
      </c>
      <c r="BA17" s="23" t="n">
        <f aca="false">'Qté 2027'!BA17*$C17</f>
        <v>4.5648</v>
      </c>
      <c r="BB17" s="23" t="n">
        <f aca="false">'Qté 2027'!BB17*$C17</f>
        <v>8.7492</v>
      </c>
      <c r="BC17" s="23" t="n">
        <f aca="false">'Qté 2027'!BC17*$C17</f>
        <v>4.5648</v>
      </c>
      <c r="BD17" s="15" t="n">
        <f aca="false">SUM(D17:BC17)</f>
        <v>1157.5572</v>
      </c>
    </row>
    <row r="18" customFormat="false" ht="15" hidden="false" customHeight="false" outlineLevel="0" collapsed="false">
      <c r="A18" s="5" t="s">
        <v>192</v>
      </c>
      <c r="B18" s="5" t="s">
        <v>48</v>
      </c>
      <c r="C18" s="22" t="n">
        <v>22.68</v>
      </c>
      <c r="D18" s="23" t="n">
        <f aca="false">'Qté 2027'!D18*$C18</f>
        <v>2.268</v>
      </c>
      <c r="E18" s="23" t="n">
        <f aca="false">'Qté 2027'!E18*$C18</f>
        <v>0.6804</v>
      </c>
      <c r="F18" s="23" t="n">
        <f aca="false">'Qté 2027'!F18*$C18</f>
        <v>1.3608</v>
      </c>
      <c r="G18" s="23" t="n">
        <f aca="false">'Qté 2027'!G18*$C18</f>
        <v>2.4948</v>
      </c>
      <c r="H18" s="23" t="n">
        <f aca="false">'Qté 2027'!H18*$C18</f>
        <v>1.3608</v>
      </c>
      <c r="I18" s="23" t="n">
        <f aca="false">'Qté 2027'!I18*$C18</f>
        <v>2.0412</v>
      </c>
      <c r="J18" s="23" t="n">
        <f aca="false">'Qté 2027'!J18*$C18</f>
        <v>4.0824</v>
      </c>
      <c r="K18" s="23" t="n">
        <f aca="false">'Qté 2027'!K18*$C18</f>
        <v>2.0412</v>
      </c>
      <c r="L18" s="23" t="n">
        <f aca="false">'Qté 2027'!L18*$C18</f>
        <v>0</v>
      </c>
      <c r="M18" s="23" t="n">
        <f aca="false">'Qté 2027'!M18*$C18</f>
        <v>0</v>
      </c>
      <c r="N18" s="23" t="n">
        <f aca="false">'Qté 2027'!N18*$C18</f>
        <v>0</v>
      </c>
      <c r="O18" s="23" t="n">
        <f aca="false">'Qté 2027'!O18*$C18</f>
        <v>0</v>
      </c>
      <c r="P18" s="23" t="n">
        <f aca="false">'Qté 2027'!P18*$C18</f>
        <v>0</v>
      </c>
      <c r="Q18" s="23" t="n">
        <f aca="false">'Qté 2027'!Q18*$C18</f>
        <v>0</v>
      </c>
      <c r="R18" s="23" t="n">
        <f aca="false">'Qté 2027'!R18*$C18</f>
        <v>0</v>
      </c>
      <c r="S18" s="23" t="n">
        <f aca="false">'Qté 2027'!S18*$C18</f>
        <v>0.6804</v>
      </c>
      <c r="T18" s="23" t="n">
        <f aca="false">'Qté 2027'!T18*$C18</f>
        <v>1.5876</v>
      </c>
      <c r="U18" s="23" t="n">
        <f aca="false">'Qté 2027'!U18*$C18</f>
        <v>0.6804</v>
      </c>
      <c r="V18" s="23" t="n">
        <f aca="false">'Qté 2027'!V18*$C18</f>
        <v>0</v>
      </c>
      <c r="W18" s="23" t="n">
        <f aca="false">'Qté 2027'!W18*$C18</f>
        <v>0</v>
      </c>
      <c r="X18" s="23" t="n">
        <f aca="false">'Qté 2027'!X18*$C18</f>
        <v>0</v>
      </c>
      <c r="Y18" s="23" t="n">
        <f aca="false">'Qté 2027'!Y18*$C18</f>
        <v>0</v>
      </c>
      <c r="Z18" s="23" t="n">
        <f aca="false">'Qté 2027'!Z18*$C18</f>
        <v>0</v>
      </c>
      <c r="AA18" s="23" t="n">
        <f aca="false">'Qté 2027'!AA18*$C18</f>
        <v>0</v>
      </c>
      <c r="AB18" s="23" t="n">
        <f aca="false">'Qté 2027'!AB18*$C18</f>
        <v>0</v>
      </c>
      <c r="AC18" s="23" t="n">
        <f aca="false">'Qté 2027'!AC18*$C18</f>
        <v>0</v>
      </c>
      <c r="AD18" s="23" t="n">
        <f aca="false">'Qté 2027'!AD18*$C18</f>
        <v>0</v>
      </c>
      <c r="AE18" s="23" t="n">
        <f aca="false">'Qté 2027'!AE18*$C18</f>
        <v>0</v>
      </c>
      <c r="AF18" s="23" t="n">
        <f aca="false">'Qté 2027'!AF18*$C18</f>
        <v>0</v>
      </c>
      <c r="AG18" s="23" t="n">
        <f aca="false">'Qté 2027'!AG18*$C18</f>
        <v>0</v>
      </c>
      <c r="AH18" s="23" t="n">
        <f aca="false">'Qté 2027'!AH18*$C18</f>
        <v>1.8144</v>
      </c>
      <c r="AI18" s="23" t="n">
        <f aca="false">'Qté 2027'!AI18*$C18</f>
        <v>3.8556</v>
      </c>
      <c r="AJ18" s="23" t="n">
        <f aca="false">'Qté 2027'!AJ18*$C18</f>
        <v>1.8144</v>
      </c>
      <c r="AK18" s="23" t="n">
        <f aca="false">'Qté 2027'!AK18*$C18</f>
        <v>4.536</v>
      </c>
      <c r="AL18" s="23" t="n">
        <f aca="false">'Qté 2027'!AL18*$C18</f>
        <v>17.6904</v>
      </c>
      <c r="AM18" s="23" t="n">
        <f aca="false">'Qté 2027'!AM18*$C18</f>
        <v>27.4428</v>
      </c>
      <c r="AN18" s="23" t="n">
        <f aca="false">'Qté 2027'!AN18*$C18</f>
        <v>46.7208</v>
      </c>
      <c r="AO18" s="23" t="n">
        <f aca="false">'Qté 2027'!AO18*$C18</f>
        <v>82.1016</v>
      </c>
      <c r="AP18" s="23" t="n">
        <f aca="false">'Qté 2027'!AP18*$C18</f>
        <v>94.122</v>
      </c>
      <c r="AQ18" s="23" t="n">
        <f aca="false">'Qté 2027'!AQ18*$C18</f>
        <v>92.988</v>
      </c>
      <c r="AR18" s="23" t="n">
        <f aca="false">'Qté 2027'!AR18*$C18</f>
        <v>97.2972</v>
      </c>
      <c r="AS18" s="23" t="n">
        <f aca="false">'Qté 2027'!AS18*$C18</f>
        <v>93.8952</v>
      </c>
      <c r="AT18" s="23" t="n">
        <f aca="false">'Qté 2027'!AT18*$C18</f>
        <v>79.6068</v>
      </c>
      <c r="AU18" s="23" t="n">
        <f aca="false">'Qté 2027'!AU18*$C18</f>
        <v>57.3804</v>
      </c>
      <c r="AV18" s="23" t="n">
        <f aca="false">'Qté 2027'!AV18*$C18</f>
        <v>47.1744</v>
      </c>
      <c r="AW18" s="23" t="n">
        <f aca="false">'Qté 2027'!AW18*$C18</f>
        <v>54.6588</v>
      </c>
      <c r="AX18" s="23" t="n">
        <f aca="false">'Qté 2027'!AX18*$C18</f>
        <v>59.6484</v>
      </c>
      <c r="AY18" s="23" t="n">
        <f aca="false">'Qté 2027'!AY18*$C18</f>
        <v>41.7312</v>
      </c>
      <c r="AZ18" s="23" t="n">
        <f aca="false">'Qté 2027'!AZ18*$C18</f>
        <v>18.8244</v>
      </c>
      <c r="BA18" s="23" t="n">
        <f aca="false">'Qté 2027'!BA18*$C18</f>
        <v>13.8348</v>
      </c>
      <c r="BB18" s="23" t="n">
        <f aca="false">'Qté 2027'!BB18*$C18</f>
        <v>12.474</v>
      </c>
      <c r="BC18" s="23" t="n">
        <f aca="false">'Qté 2027'!BC18*$C18</f>
        <v>4.536</v>
      </c>
      <c r="BD18" s="15" t="n">
        <f aca="false">SUM(D18:BC18)</f>
        <v>973.4256</v>
      </c>
    </row>
    <row r="19" customFormat="false" ht="15" hidden="false" customHeight="false" outlineLevel="0" collapsed="false">
      <c r="A19" s="5" t="s">
        <v>193</v>
      </c>
      <c r="B19" s="5" t="s">
        <v>69</v>
      </c>
      <c r="C19" s="22" t="n">
        <v>43.2</v>
      </c>
      <c r="D19" s="23" t="n">
        <f aca="false">'Qté 2027'!D19*$C19</f>
        <v>0</v>
      </c>
      <c r="E19" s="23" t="n">
        <f aca="false">'Qté 2027'!E19*$C19</f>
        <v>0</v>
      </c>
      <c r="F19" s="23" t="n">
        <f aca="false">'Qté 2027'!F19*$C19</f>
        <v>0</v>
      </c>
      <c r="G19" s="23" t="n">
        <f aca="false">'Qté 2027'!G19*$C19</f>
        <v>0</v>
      </c>
      <c r="H19" s="23" t="n">
        <f aca="false">'Qté 2027'!H19*$C19</f>
        <v>0</v>
      </c>
      <c r="I19" s="23" t="n">
        <f aca="false">'Qté 2027'!I19*$C19</f>
        <v>0</v>
      </c>
      <c r="J19" s="23" t="n">
        <f aca="false">'Qté 2027'!J19*$C19</f>
        <v>0</v>
      </c>
      <c r="K19" s="23" t="n">
        <f aca="false">'Qté 2027'!K19*$C19</f>
        <v>0</v>
      </c>
      <c r="L19" s="23" t="n">
        <f aca="false">'Qté 2027'!L19*$C19</f>
        <v>0</v>
      </c>
      <c r="M19" s="23" t="n">
        <f aca="false">'Qté 2027'!M19*$C19</f>
        <v>0</v>
      </c>
      <c r="N19" s="23" t="n">
        <f aca="false">'Qté 2027'!N19*$C19</f>
        <v>3.024</v>
      </c>
      <c r="O19" s="23" t="n">
        <f aca="false">'Qté 2027'!O19*$C19</f>
        <v>6.048</v>
      </c>
      <c r="P19" s="23" t="n">
        <f aca="false">'Qté 2027'!P19*$C19</f>
        <v>7.776</v>
      </c>
      <c r="Q19" s="23" t="n">
        <f aca="false">'Qté 2027'!Q19*$C19</f>
        <v>9.936</v>
      </c>
      <c r="R19" s="23" t="n">
        <f aca="false">'Qté 2027'!R19*$C19</f>
        <v>4.752</v>
      </c>
      <c r="S19" s="23" t="n">
        <f aca="false">'Qté 2027'!S19*$C19</f>
        <v>3.888</v>
      </c>
      <c r="T19" s="23" t="n">
        <f aca="false">'Qté 2027'!T19*$C19</f>
        <v>7.776</v>
      </c>
      <c r="U19" s="23" t="n">
        <f aca="false">'Qté 2027'!U19*$C19</f>
        <v>7.344</v>
      </c>
      <c r="V19" s="23" t="n">
        <f aca="false">'Qté 2027'!V19*$C19</f>
        <v>19.008</v>
      </c>
      <c r="W19" s="23" t="n">
        <f aca="false">'Qté 2027'!W19*$C19</f>
        <v>55.296</v>
      </c>
      <c r="X19" s="23" t="n">
        <f aca="false">'Qté 2027'!X19*$C19</f>
        <v>78.624</v>
      </c>
      <c r="Y19" s="23" t="n">
        <f aca="false">'Qté 2027'!Y19*$C19</f>
        <v>50.976</v>
      </c>
      <c r="Z19" s="23" t="n">
        <f aca="false">'Qté 2027'!Z19*$C19</f>
        <v>11.664</v>
      </c>
      <c r="AA19" s="23" t="n">
        <f aca="false">'Qté 2027'!AA19*$C19</f>
        <v>19.008</v>
      </c>
      <c r="AB19" s="23" t="n">
        <f aca="false">'Qté 2027'!AB19*$C19</f>
        <v>53.136</v>
      </c>
      <c r="AC19" s="23" t="n">
        <f aca="false">'Qté 2027'!AC19*$C19</f>
        <v>59.184</v>
      </c>
      <c r="AD19" s="23" t="n">
        <f aca="false">'Qté 2027'!AD19*$C19</f>
        <v>48.816</v>
      </c>
      <c r="AE19" s="23" t="n">
        <f aca="false">'Qté 2027'!AE19*$C19</f>
        <v>45.36</v>
      </c>
      <c r="AF19" s="23" t="n">
        <f aca="false">'Qté 2027'!AF19*$C19</f>
        <v>37.152</v>
      </c>
      <c r="AG19" s="23" t="n">
        <f aca="false">'Qté 2027'!AG19*$C19</f>
        <v>26.352</v>
      </c>
      <c r="AH19" s="23" t="n">
        <f aca="false">'Qté 2027'!AH19*$C19</f>
        <v>27.216</v>
      </c>
      <c r="AI19" s="23" t="n">
        <f aca="false">'Qté 2027'!AI19*$C19</f>
        <v>47.952</v>
      </c>
      <c r="AJ19" s="23" t="n">
        <f aca="false">'Qté 2027'!AJ19*$C19</f>
        <v>48.816</v>
      </c>
      <c r="AK19" s="23" t="n">
        <f aca="false">'Qté 2027'!AK19*$C19</f>
        <v>24.192</v>
      </c>
      <c r="AL19" s="23" t="n">
        <f aca="false">'Qté 2027'!AL19*$C19</f>
        <v>14.256</v>
      </c>
      <c r="AM19" s="23" t="n">
        <f aca="false">'Qté 2027'!AM19*$C19</f>
        <v>14.256</v>
      </c>
      <c r="AN19" s="23" t="n">
        <f aca="false">'Qté 2027'!AN19*$C19</f>
        <v>20.736</v>
      </c>
      <c r="AO19" s="23" t="n">
        <f aca="false">'Qté 2027'!AO19*$C19</f>
        <v>20.304</v>
      </c>
      <c r="AP19" s="23" t="n">
        <f aca="false">'Qté 2027'!AP19*$C19</f>
        <v>11.664</v>
      </c>
      <c r="AQ19" s="23" t="n">
        <f aca="false">'Qté 2027'!AQ19*$C19</f>
        <v>9.936</v>
      </c>
      <c r="AR19" s="23" t="n">
        <f aca="false">'Qté 2027'!AR19*$C19</f>
        <v>5.184</v>
      </c>
      <c r="AS19" s="23" t="n">
        <f aca="false">'Qté 2027'!AS19*$C19</f>
        <v>2.16</v>
      </c>
      <c r="AT19" s="23" t="n">
        <f aca="false">'Qté 2027'!AT19*$C19</f>
        <v>4.32</v>
      </c>
      <c r="AU19" s="23" t="n">
        <f aca="false">'Qté 2027'!AU19*$C19</f>
        <v>2.16</v>
      </c>
      <c r="AV19" s="23" t="n">
        <f aca="false">'Qté 2027'!AV19*$C19</f>
        <v>0</v>
      </c>
      <c r="AW19" s="23" t="n">
        <f aca="false">'Qté 2027'!AW19*$C19</f>
        <v>0</v>
      </c>
      <c r="AX19" s="23" t="n">
        <f aca="false">'Qté 2027'!AX19*$C19</f>
        <v>0</v>
      </c>
      <c r="AY19" s="23" t="n">
        <f aca="false">'Qté 2027'!AY19*$C19</f>
        <v>0</v>
      </c>
      <c r="AZ19" s="23" t="n">
        <f aca="false">'Qté 2027'!AZ19*$C19</f>
        <v>0</v>
      </c>
      <c r="BA19" s="23" t="n">
        <f aca="false">'Qté 2027'!BA19*$C19</f>
        <v>0</v>
      </c>
      <c r="BB19" s="23" t="n">
        <f aca="false">'Qté 2027'!BB19*$C19</f>
        <v>0</v>
      </c>
      <c r="BC19" s="23" t="n">
        <f aca="false">'Qté 2027'!BC19*$C19</f>
        <v>0</v>
      </c>
      <c r="BD19" s="15" t="n">
        <f aca="false">SUM(D19:BC19)</f>
        <v>808.272</v>
      </c>
    </row>
    <row r="20" customFormat="false" ht="15" hidden="false" customHeight="false" outlineLevel="0" collapsed="false">
      <c r="A20" s="5" t="s">
        <v>194</v>
      </c>
      <c r="B20" s="5" t="s">
        <v>51</v>
      </c>
      <c r="C20" s="22" t="n">
        <v>50.14</v>
      </c>
      <c r="D20" s="23" t="n">
        <f aca="false">'Qté 2027'!D20*$C20</f>
        <v>0</v>
      </c>
      <c r="E20" s="23" t="n">
        <f aca="false">'Qté 2027'!E20*$C20</f>
        <v>0</v>
      </c>
      <c r="F20" s="23" t="n">
        <f aca="false">'Qté 2027'!F20*$C20</f>
        <v>0</v>
      </c>
      <c r="G20" s="23" t="n">
        <f aca="false">'Qté 2027'!G20*$C20</f>
        <v>0</v>
      </c>
      <c r="H20" s="23" t="n">
        <f aca="false">'Qté 2027'!H20*$C20</f>
        <v>0</v>
      </c>
      <c r="I20" s="23" t="n">
        <f aca="false">'Qté 2027'!I20*$C20</f>
        <v>0</v>
      </c>
      <c r="J20" s="23" t="n">
        <f aca="false">'Qté 2027'!J20*$C20</f>
        <v>0</v>
      </c>
      <c r="K20" s="23" t="n">
        <f aca="false">'Qté 2027'!K20*$C20</f>
        <v>0</v>
      </c>
      <c r="L20" s="23" t="n">
        <f aca="false">'Qté 2027'!L20*$C20</f>
        <v>0</v>
      </c>
      <c r="M20" s="23" t="n">
        <f aca="false">'Qté 2027'!M20*$C20</f>
        <v>1.5042</v>
      </c>
      <c r="N20" s="23" t="n">
        <f aca="false">'Qté 2027'!N20*$C20</f>
        <v>7.0196</v>
      </c>
      <c r="O20" s="23" t="n">
        <f aca="false">'Qté 2027'!O20*$C20</f>
        <v>8.5238</v>
      </c>
      <c r="P20" s="23" t="n">
        <f aca="false">'Qté 2027'!P20*$C20</f>
        <v>5.014</v>
      </c>
      <c r="Q20" s="23" t="n">
        <f aca="false">'Qté 2027'!Q20*$C20</f>
        <v>5.014</v>
      </c>
      <c r="R20" s="23" t="n">
        <f aca="false">'Qté 2027'!R20*$C20</f>
        <v>8.5238</v>
      </c>
      <c r="S20" s="23" t="n">
        <f aca="false">'Qté 2027'!S20*$C20</f>
        <v>8.5238</v>
      </c>
      <c r="T20" s="23" t="n">
        <f aca="false">'Qté 2027'!T20*$C20</f>
        <v>7.0196</v>
      </c>
      <c r="U20" s="23" t="n">
        <f aca="false">'Qté 2027'!U20*$C20</f>
        <v>13.5378</v>
      </c>
      <c r="V20" s="23" t="n">
        <f aca="false">'Qté 2027'!V20*$C20</f>
        <v>25.07</v>
      </c>
      <c r="W20" s="23" t="n">
        <f aca="false">'Qté 2027'!W20*$C20</f>
        <v>48.1344</v>
      </c>
      <c r="X20" s="23" t="n">
        <f aca="false">'Qté 2027'!X20*$C20</f>
        <v>104.2912</v>
      </c>
      <c r="Y20" s="23" t="n">
        <f aca="false">'Qté 2027'!Y20*$C20</f>
        <v>134.3752</v>
      </c>
      <c r="Z20" s="23" t="n">
        <f aca="false">'Qté 2027'!Z20*$C20</f>
        <v>107.801</v>
      </c>
      <c r="AA20" s="23" t="n">
        <f aca="false">'Qté 2027'!AA20*$C20</f>
        <v>70.196</v>
      </c>
      <c r="AB20" s="23" t="n">
        <f aca="false">'Qté 2027'!AB20*$C20</f>
        <v>26.0728</v>
      </c>
      <c r="AC20" s="23" t="n">
        <f aca="false">'Qté 2027'!AC20*$C20</f>
        <v>5.014</v>
      </c>
      <c r="AD20" s="23" t="n">
        <f aca="false">'Qté 2027'!AD20*$C20</f>
        <v>15.5434</v>
      </c>
      <c r="AE20" s="23" t="n">
        <f aca="false">'Qté 2027'!AE20*$C20</f>
        <v>27.0756</v>
      </c>
      <c r="AF20" s="23" t="n">
        <f aca="false">'Qté 2027'!AF20*$C20</f>
        <v>33.5938</v>
      </c>
      <c r="AG20" s="23" t="n">
        <f aca="false">'Qté 2027'!AG20*$C20</f>
        <v>21.5602</v>
      </c>
      <c r="AH20" s="23" t="n">
        <f aca="false">'Qté 2027'!AH20*$C20</f>
        <v>12.535</v>
      </c>
      <c r="AI20" s="23" t="n">
        <f aca="false">'Qté 2027'!AI20*$C20</f>
        <v>21.0588</v>
      </c>
      <c r="AJ20" s="23" t="n">
        <f aca="false">'Qté 2027'!AJ20*$C20</f>
        <v>19.0532</v>
      </c>
      <c r="AK20" s="23" t="n">
        <f aca="false">'Qté 2027'!AK20*$C20</f>
        <v>11.0308</v>
      </c>
      <c r="AL20" s="23" t="n">
        <f aca="false">'Qté 2027'!AL20*$C20</f>
        <v>10.028</v>
      </c>
      <c r="AM20" s="23" t="n">
        <f aca="false">'Qté 2027'!AM20*$C20</f>
        <v>5.014</v>
      </c>
      <c r="AN20" s="23" t="n">
        <f aca="false">'Qté 2027'!AN20*$C20</f>
        <v>0</v>
      </c>
      <c r="AO20" s="23" t="n">
        <f aca="false">'Qté 2027'!AO20*$C20</f>
        <v>0</v>
      </c>
      <c r="AP20" s="23" t="n">
        <f aca="false">'Qté 2027'!AP20*$C20</f>
        <v>0</v>
      </c>
      <c r="AQ20" s="23" t="n">
        <f aca="false">'Qté 2027'!AQ20*$C20</f>
        <v>0</v>
      </c>
      <c r="AR20" s="23" t="n">
        <f aca="false">'Qté 2027'!AR20*$C20</f>
        <v>0</v>
      </c>
      <c r="AS20" s="23" t="n">
        <f aca="false">'Qté 2027'!AS20*$C20</f>
        <v>0</v>
      </c>
      <c r="AT20" s="23" t="n">
        <f aca="false">'Qté 2027'!AT20*$C20</f>
        <v>0</v>
      </c>
      <c r="AU20" s="23" t="n">
        <f aca="false">'Qté 2027'!AU20*$C20</f>
        <v>0</v>
      </c>
      <c r="AV20" s="23" t="n">
        <f aca="false">'Qté 2027'!AV20*$C20</f>
        <v>0</v>
      </c>
      <c r="AW20" s="23" t="n">
        <f aca="false">'Qté 2027'!AW20*$C20</f>
        <v>0</v>
      </c>
      <c r="AX20" s="23" t="n">
        <f aca="false">'Qté 2027'!AX20*$C20</f>
        <v>0</v>
      </c>
      <c r="AY20" s="23" t="n">
        <f aca="false">'Qté 2027'!AY20*$C20</f>
        <v>0</v>
      </c>
      <c r="AZ20" s="23" t="n">
        <f aca="false">'Qté 2027'!AZ20*$C20</f>
        <v>0</v>
      </c>
      <c r="BA20" s="23" t="n">
        <f aca="false">'Qté 2027'!BA20*$C20</f>
        <v>0</v>
      </c>
      <c r="BB20" s="23" t="n">
        <f aca="false">'Qté 2027'!BB20*$C20</f>
        <v>0</v>
      </c>
      <c r="BC20" s="23" t="n">
        <f aca="false">'Qté 2027'!BC20*$C20</f>
        <v>0</v>
      </c>
      <c r="BD20" s="15" t="n">
        <f aca="false">SUM(D20:BC20)</f>
        <v>762.128</v>
      </c>
    </row>
    <row r="21" customFormat="false" ht="15" hidden="false" customHeight="false" outlineLevel="0" collapsed="false">
      <c r="A21" s="5" t="s">
        <v>195</v>
      </c>
      <c r="B21" s="5" t="s">
        <v>69</v>
      </c>
      <c r="C21" s="22" t="n">
        <v>7.68</v>
      </c>
      <c r="D21" s="23" t="n">
        <f aca="false">'Qté 2027'!D21*$C21</f>
        <v>0</v>
      </c>
      <c r="E21" s="23" t="n">
        <f aca="false">'Qté 2027'!E21*$C21</f>
        <v>0</v>
      </c>
      <c r="F21" s="23" t="n">
        <f aca="false">'Qté 2027'!F21*$C21</f>
        <v>0</v>
      </c>
      <c r="G21" s="23" t="n">
        <f aca="false">'Qté 2027'!G21*$C21</f>
        <v>0</v>
      </c>
      <c r="H21" s="23" t="n">
        <f aca="false">'Qté 2027'!H21*$C21</f>
        <v>0</v>
      </c>
      <c r="I21" s="23" t="n">
        <f aca="false">'Qté 2027'!I21*$C21</f>
        <v>0</v>
      </c>
      <c r="J21" s="23" t="n">
        <f aca="false">'Qté 2027'!J21*$C21</f>
        <v>0</v>
      </c>
      <c r="K21" s="23" t="n">
        <f aca="false">'Qté 2027'!K21*$C21</f>
        <v>0</v>
      </c>
      <c r="L21" s="23" t="n">
        <f aca="false">'Qté 2027'!L21*$C21</f>
        <v>0</v>
      </c>
      <c r="M21" s="23" t="n">
        <f aca="false">'Qté 2027'!M21*$C21</f>
        <v>0</v>
      </c>
      <c r="N21" s="23" t="n">
        <f aca="false">'Qté 2027'!N21*$C21</f>
        <v>0</v>
      </c>
      <c r="O21" s="23" t="n">
        <f aca="false">'Qté 2027'!O21*$C21</f>
        <v>1.2288</v>
      </c>
      <c r="P21" s="23" t="n">
        <f aca="false">'Qté 2027'!P21*$C21</f>
        <v>2.9952</v>
      </c>
      <c r="Q21" s="23" t="n">
        <f aca="false">'Qté 2027'!Q21*$C21</f>
        <v>10.2912</v>
      </c>
      <c r="R21" s="23" t="n">
        <f aca="false">'Qté 2027'!R21*$C21</f>
        <v>18.6624</v>
      </c>
      <c r="S21" s="23" t="n">
        <f aca="false">'Qté 2027'!S21*$C21</f>
        <v>15.2064</v>
      </c>
      <c r="T21" s="23" t="n">
        <f aca="false">'Qté 2027'!T21*$C21</f>
        <v>20.8896</v>
      </c>
      <c r="U21" s="23" t="n">
        <f aca="false">'Qté 2027'!U21*$C21</f>
        <v>39.6288</v>
      </c>
      <c r="V21" s="23" t="n">
        <f aca="false">'Qté 2027'!V21*$C21</f>
        <v>46.0032</v>
      </c>
      <c r="W21" s="23" t="n">
        <f aca="false">'Qté 2027'!W21*$C21</f>
        <v>50.6112</v>
      </c>
      <c r="X21" s="23" t="n">
        <f aca="false">'Qté 2027'!X21*$C21</f>
        <v>54.6048</v>
      </c>
      <c r="Y21" s="23" t="n">
        <f aca="false">'Qté 2027'!Y21*$C21</f>
        <v>51.456</v>
      </c>
      <c r="Z21" s="23" t="n">
        <f aca="false">'Qté 2027'!Z21*$C21</f>
        <v>52.3776</v>
      </c>
      <c r="AA21" s="23" t="n">
        <f aca="false">'Qté 2027'!AA21*$C21</f>
        <v>54.3744</v>
      </c>
      <c r="AB21" s="23" t="n">
        <f aca="false">'Qté 2027'!AB21*$C21</f>
        <v>55.7568</v>
      </c>
      <c r="AC21" s="23" t="n">
        <f aca="false">'Qté 2027'!AC21*$C21</f>
        <v>49.4592</v>
      </c>
      <c r="AD21" s="23" t="n">
        <f aca="false">'Qté 2027'!AD21*$C21</f>
        <v>35.328</v>
      </c>
      <c r="AE21" s="23" t="n">
        <f aca="false">'Qté 2027'!AE21*$C21</f>
        <v>23.04</v>
      </c>
      <c r="AF21" s="23" t="n">
        <f aca="false">'Qté 2027'!AF21*$C21</f>
        <v>14.6688</v>
      </c>
      <c r="AG21" s="23" t="n">
        <f aca="false">'Qté 2027'!AG21*$C21</f>
        <v>18.2784</v>
      </c>
      <c r="AH21" s="23" t="n">
        <f aca="false">'Qté 2027'!AH21*$C21</f>
        <v>29.6448</v>
      </c>
      <c r="AI21" s="23" t="n">
        <f aca="false">'Qté 2027'!AI21*$C21</f>
        <v>39.6288</v>
      </c>
      <c r="AJ21" s="23" t="n">
        <f aca="false">'Qté 2027'!AJ21*$C21</f>
        <v>36.7872</v>
      </c>
      <c r="AK21" s="23" t="n">
        <f aca="false">'Qté 2027'!AK21*$C21</f>
        <v>14.5152</v>
      </c>
      <c r="AL21" s="23" t="n">
        <f aca="false">'Qté 2027'!AL21*$C21</f>
        <v>0</v>
      </c>
      <c r="AM21" s="23" t="n">
        <f aca="false">'Qté 2027'!AM21*$C21</f>
        <v>0</v>
      </c>
      <c r="AN21" s="23" t="n">
        <f aca="false">'Qté 2027'!AN21*$C21</f>
        <v>1.7664</v>
      </c>
      <c r="AO21" s="23" t="n">
        <f aca="false">'Qté 2027'!AO21*$C21</f>
        <v>3.6096</v>
      </c>
      <c r="AP21" s="23" t="n">
        <f aca="false">'Qté 2027'!AP21*$C21</f>
        <v>1.7664</v>
      </c>
      <c r="AQ21" s="23" t="n">
        <f aca="false">'Qté 2027'!AQ21*$C21</f>
        <v>0</v>
      </c>
      <c r="AR21" s="23" t="n">
        <f aca="false">'Qté 2027'!AR21*$C21</f>
        <v>0</v>
      </c>
      <c r="AS21" s="23" t="n">
        <f aca="false">'Qté 2027'!AS21*$C21</f>
        <v>0</v>
      </c>
      <c r="AT21" s="23" t="n">
        <f aca="false">'Qté 2027'!AT21*$C21</f>
        <v>0</v>
      </c>
      <c r="AU21" s="23" t="n">
        <f aca="false">'Qté 2027'!AU21*$C21</f>
        <v>0</v>
      </c>
      <c r="AV21" s="23" t="n">
        <f aca="false">'Qté 2027'!AV21*$C21</f>
        <v>0</v>
      </c>
      <c r="AW21" s="23" t="n">
        <f aca="false">'Qté 2027'!AW21*$C21</f>
        <v>0</v>
      </c>
      <c r="AX21" s="23" t="n">
        <f aca="false">'Qté 2027'!AX21*$C21</f>
        <v>0</v>
      </c>
      <c r="AY21" s="23" t="n">
        <f aca="false">'Qté 2027'!AY21*$C21</f>
        <v>0</v>
      </c>
      <c r="AZ21" s="23" t="n">
        <f aca="false">'Qté 2027'!AZ21*$C21</f>
        <v>0</v>
      </c>
      <c r="BA21" s="23" t="n">
        <f aca="false">'Qté 2027'!BA21*$C21</f>
        <v>0</v>
      </c>
      <c r="BB21" s="23" t="n">
        <f aca="false">'Qté 2027'!BB21*$C21</f>
        <v>0</v>
      </c>
      <c r="BC21" s="23" t="n">
        <f aca="false">'Qté 2027'!BC21*$C21</f>
        <v>0</v>
      </c>
      <c r="BD21" s="15" t="n">
        <f aca="false">SUM(D21:BC21)</f>
        <v>742.5792</v>
      </c>
    </row>
    <row r="22" customFormat="false" ht="15" hidden="false" customHeight="false" outlineLevel="0" collapsed="false">
      <c r="A22" s="5" t="s">
        <v>197</v>
      </c>
      <c r="B22" s="5" t="s">
        <v>69</v>
      </c>
      <c r="C22" s="22" t="n">
        <v>20.4</v>
      </c>
      <c r="D22" s="23" t="n">
        <f aca="false">'Qté 2027'!D22*$C22</f>
        <v>0</v>
      </c>
      <c r="E22" s="23" t="n">
        <f aca="false">'Qté 2027'!E22*$C22</f>
        <v>0</v>
      </c>
      <c r="F22" s="23" t="n">
        <f aca="false">'Qté 2027'!F22*$C22</f>
        <v>0</v>
      </c>
      <c r="G22" s="23" t="n">
        <f aca="false">'Qté 2027'!G22*$C22</f>
        <v>0</v>
      </c>
      <c r="H22" s="23" t="n">
        <f aca="false">'Qté 2027'!H22*$C22</f>
        <v>0</v>
      </c>
      <c r="I22" s="23" t="n">
        <f aca="false">'Qté 2027'!I22*$C22</f>
        <v>0</v>
      </c>
      <c r="J22" s="23" t="n">
        <f aca="false">'Qté 2027'!J22*$C22</f>
        <v>0</v>
      </c>
      <c r="K22" s="23" t="n">
        <f aca="false">'Qté 2027'!K22*$C22</f>
        <v>0</v>
      </c>
      <c r="L22" s="23" t="n">
        <f aca="false">'Qté 2027'!L22*$C22</f>
        <v>0</v>
      </c>
      <c r="M22" s="23" t="n">
        <f aca="false">'Qté 2027'!M22*$C22</f>
        <v>0</v>
      </c>
      <c r="N22" s="23" t="n">
        <f aca="false">'Qté 2027'!N22*$C22</f>
        <v>0</v>
      </c>
      <c r="O22" s="23" t="n">
        <f aca="false">'Qté 2027'!O22*$C22</f>
        <v>2.856</v>
      </c>
      <c r="P22" s="23" t="n">
        <f aca="false">'Qté 2027'!P22*$C22</f>
        <v>5.508</v>
      </c>
      <c r="Q22" s="23" t="n">
        <f aca="false">'Qté 2027'!Q22*$C22</f>
        <v>5.508</v>
      </c>
      <c r="R22" s="23" t="n">
        <f aca="false">'Qté 2027'!R22*$C22</f>
        <v>5.508</v>
      </c>
      <c r="S22" s="23" t="n">
        <f aca="false">'Qté 2027'!S22*$C22</f>
        <v>3.876</v>
      </c>
      <c r="T22" s="23" t="n">
        <f aca="false">'Qté 2027'!T22*$C22</f>
        <v>2.244</v>
      </c>
      <c r="U22" s="23" t="n">
        <f aca="false">'Qté 2027'!U22*$C22</f>
        <v>2.856</v>
      </c>
      <c r="V22" s="23" t="n">
        <f aca="false">'Qté 2027'!V22*$C22</f>
        <v>7.548</v>
      </c>
      <c r="W22" s="23" t="n">
        <f aca="false">'Qté 2027'!W22*$C22</f>
        <v>33.66</v>
      </c>
      <c r="X22" s="23" t="n">
        <f aca="false">'Qté 2027'!X22*$C22</f>
        <v>67.932</v>
      </c>
      <c r="Y22" s="23" t="n">
        <f aca="false">'Qté 2027'!Y22*$C22</f>
        <v>64.872</v>
      </c>
      <c r="Z22" s="23" t="n">
        <f aca="false">'Qté 2027'!Z22*$C22</f>
        <v>46.92</v>
      </c>
      <c r="AA22" s="23" t="n">
        <f aca="false">'Qté 2027'!AA22*$C22</f>
        <v>53.448</v>
      </c>
      <c r="AB22" s="23" t="n">
        <f aca="false">'Qté 2027'!AB22*$C22</f>
        <v>65.484</v>
      </c>
      <c r="AC22" s="23" t="n">
        <f aca="false">'Qté 2027'!AC22*$C22</f>
        <v>75.276</v>
      </c>
      <c r="AD22" s="23" t="n">
        <f aca="false">'Qté 2027'!AD22*$C22</f>
        <v>83.436</v>
      </c>
      <c r="AE22" s="23" t="n">
        <f aca="false">'Qté 2027'!AE22*$C22</f>
        <v>63.444</v>
      </c>
      <c r="AF22" s="23" t="n">
        <f aca="false">'Qté 2027'!AF22*$C22</f>
        <v>23.052</v>
      </c>
      <c r="AG22" s="23" t="n">
        <f aca="false">'Qté 2027'!AG22*$C22</f>
        <v>7.14</v>
      </c>
      <c r="AH22" s="23" t="n">
        <f aca="false">'Qté 2027'!AH22*$C22</f>
        <v>16.524</v>
      </c>
      <c r="AI22" s="23" t="n">
        <f aca="false">'Qté 2027'!AI22*$C22</f>
        <v>23.664</v>
      </c>
      <c r="AJ22" s="23" t="n">
        <f aca="false">'Qté 2027'!AJ22*$C22</f>
        <v>14.28</v>
      </c>
      <c r="AK22" s="23" t="n">
        <f aca="false">'Qté 2027'!AK22*$C22</f>
        <v>2.448</v>
      </c>
      <c r="AL22" s="23" t="n">
        <f aca="false">'Qté 2027'!AL22*$C22</f>
        <v>2.448</v>
      </c>
      <c r="AM22" s="23" t="n">
        <f aca="false">'Qté 2027'!AM22*$C22</f>
        <v>7.14</v>
      </c>
      <c r="AN22" s="23" t="n">
        <f aca="false">'Qté 2027'!AN22*$C22</f>
        <v>7.14</v>
      </c>
      <c r="AO22" s="23" t="n">
        <f aca="false">'Qté 2027'!AO22*$C22</f>
        <v>2.448</v>
      </c>
      <c r="AP22" s="23" t="n">
        <f aca="false">'Qté 2027'!AP22*$C22</f>
        <v>0</v>
      </c>
      <c r="AQ22" s="23" t="n">
        <f aca="false">'Qté 2027'!AQ22*$C22</f>
        <v>0</v>
      </c>
      <c r="AR22" s="23" t="n">
        <f aca="false">'Qté 2027'!AR22*$C22</f>
        <v>0</v>
      </c>
      <c r="AS22" s="23" t="n">
        <f aca="false">'Qté 2027'!AS22*$C22</f>
        <v>0</v>
      </c>
      <c r="AT22" s="23" t="n">
        <f aca="false">'Qté 2027'!AT22*$C22</f>
        <v>0</v>
      </c>
      <c r="AU22" s="23" t="n">
        <f aca="false">'Qté 2027'!AU22*$C22</f>
        <v>0</v>
      </c>
      <c r="AV22" s="23" t="n">
        <f aca="false">'Qté 2027'!AV22*$C22</f>
        <v>0</v>
      </c>
      <c r="AW22" s="23" t="n">
        <f aca="false">'Qté 2027'!AW22*$C22</f>
        <v>0</v>
      </c>
      <c r="AX22" s="23" t="n">
        <f aca="false">'Qté 2027'!AX22*$C22</f>
        <v>0</v>
      </c>
      <c r="AY22" s="23" t="n">
        <f aca="false">'Qté 2027'!AY22*$C22</f>
        <v>0</v>
      </c>
      <c r="AZ22" s="23" t="n">
        <f aca="false">'Qté 2027'!AZ22*$C22</f>
        <v>0</v>
      </c>
      <c r="BA22" s="23" t="n">
        <f aca="false">'Qté 2027'!BA22*$C22</f>
        <v>0</v>
      </c>
      <c r="BB22" s="23" t="n">
        <f aca="false">'Qté 2027'!BB22*$C22</f>
        <v>0</v>
      </c>
      <c r="BC22" s="23" t="n">
        <f aca="false">'Qté 2027'!BC22*$C22</f>
        <v>0</v>
      </c>
      <c r="BD22" s="15" t="n">
        <f aca="false">SUM(D22:BC22)</f>
        <v>696.66</v>
      </c>
    </row>
    <row r="23" customFormat="false" ht="15" hidden="false" customHeight="false" outlineLevel="0" collapsed="false">
      <c r="A23" s="5" t="s">
        <v>198</v>
      </c>
      <c r="B23" s="5" t="s">
        <v>62</v>
      </c>
      <c r="C23" s="22" t="n">
        <v>35.22</v>
      </c>
      <c r="D23" s="23" t="n">
        <f aca="false">'Qté 2027'!D23*$C23</f>
        <v>0</v>
      </c>
      <c r="E23" s="23" t="n">
        <f aca="false">'Qté 2027'!E23*$C23</f>
        <v>0</v>
      </c>
      <c r="F23" s="23" t="n">
        <f aca="false">'Qté 2027'!F23*$C23</f>
        <v>0</v>
      </c>
      <c r="G23" s="23" t="n">
        <f aca="false">'Qté 2027'!G23*$C23</f>
        <v>0</v>
      </c>
      <c r="H23" s="23" t="n">
        <f aca="false">'Qté 2027'!H23*$C23</f>
        <v>0</v>
      </c>
      <c r="I23" s="23" t="n">
        <f aca="false">'Qté 2027'!I23*$C23</f>
        <v>0</v>
      </c>
      <c r="J23" s="23" t="n">
        <f aca="false">'Qté 2027'!J23*$C23</f>
        <v>0</v>
      </c>
      <c r="K23" s="23" t="n">
        <f aca="false">'Qté 2027'!K23*$C23</f>
        <v>0</v>
      </c>
      <c r="L23" s="23" t="n">
        <f aca="false">'Qté 2027'!L23*$C23</f>
        <v>0</v>
      </c>
      <c r="M23" s="23" t="n">
        <f aca="false">'Qté 2027'!M23*$C23</f>
        <v>0</v>
      </c>
      <c r="N23" s="23" t="n">
        <f aca="false">'Qté 2027'!N23*$C23</f>
        <v>0</v>
      </c>
      <c r="O23" s="23" t="n">
        <f aca="false">'Qté 2027'!O23*$C23</f>
        <v>0</v>
      </c>
      <c r="P23" s="23" t="n">
        <f aca="false">'Qté 2027'!P23*$C23</f>
        <v>0</v>
      </c>
      <c r="Q23" s="23" t="n">
        <f aca="false">'Qté 2027'!Q23*$C23</f>
        <v>3.8742</v>
      </c>
      <c r="R23" s="23" t="n">
        <f aca="false">'Qté 2027'!R23*$C23</f>
        <v>11.9748</v>
      </c>
      <c r="S23" s="23" t="n">
        <f aca="false">'Qté 2027'!S23*$C23</f>
        <v>14.088</v>
      </c>
      <c r="T23" s="23" t="n">
        <f aca="false">'Qté 2027'!T23*$C23</f>
        <v>11.9748</v>
      </c>
      <c r="U23" s="23" t="n">
        <f aca="false">'Qté 2027'!U23*$C23</f>
        <v>15.849</v>
      </c>
      <c r="V23" s="23" t="n">
        <f aca="false">'Qté 2027'!V23*$C23</f>
        <v>19.7232</v>
      </c>
      <c r="W23" s="23" t="n">
        <f aca="false">'Qté 2027'!W23*$C23</f>
        <v>15.849</v>
      </c>
      <c r="X23" s="23" t="n">
        <f aca="false">'Qté 2027'!X23*$C23</f>
        <v>11.9748</v>
      </c>
      <c r="Y23" s="23" t="n">
        <f aca="false">'Qté 2027'!Y23*$C23</f>
        <v>9.8616</v>
      </c>
      <c r="Z23" s="23" t="n">
        <f aca="false">'Qté 2027'!Z23*$C23</f>
        <v>5.9874</v>
      </c>
      <c r="AA23" s="23" t="n">
        <f aca="false">'Qté 2027'!AA23*$C23</f>
        <v>3.8742</v>
      </c>
      <c r="AB23" s="23" t="n">
        <f aca="false">'Qté 2027'!AB23*$C23</f>
        <v>9.8616</v>
      </c>
      <c r="AC23" s="23" t="n">
        <f aca="false">'Qté 2027'!AC23*$C23</f>
        <v>25.7106</v>
      </c>
      <c r="AD23" s="23" t="n">
        <f aca="false">'Qté 2027'!AD23*$C23</f>
        <v>41.9118</v>
      </c>
      <c r="AE23" s="23" t="n">
        <f aca="false">'Qté 2027'!AE23*$C23</f>
        <v>43.6728</v>
      </c>
      <c r="AF23" s="23" t="n">
        <f aca="false">'Qté 2027'!AF23*$C23</f>
        <v>34.5156</v>
      </c>
      <c r="AG23" s="23" t="n">
        <f aca="false">'Qté 2027'!AG23*$C23</f>
        <v>38.0376</v>
      </c>
      <c r="AH23" s="23" t="n">
        <f aca="false">'Qté 2027'!AH23*$C23</f>
        <v>52.83</v>
      </c>
      <c r="AI23" s="23" t="n">
        <f aca="false">'Qté 2027'!AI23*$C23</f>
        <v>49.6602</v>
      </c>
      <c r="AJ23" s="23" t="n">
        <f aca="false">'Qté 2027'!AJ23*$C23</f>
        <v>26.415</v>
      </c>
      <c r="AK23" s="23" t="n">
        <f aca="false">'Qté 2027'!AK23*$C23</f>
        <v>17.61</v>
      </c>
      <c r="AL23" s="23" t="n">
        <f aca="false">'Qté 2027'!AL23*$C23</f>
        <v>35.22</v>
      </c>
      <c r="AM23" s="23" t="n">
        <f aca="false">'Qté 2027'!AM23*$C23</f>
        <v>40.8552</v>
      </c>
      <c r="AN23" s="23" t="n">
        <f aca="false">'Qté 2027'!AN23*$C23</f>
        <v>23.2452</v>
      </c>
      <c r="AO23" s="23" t="n">
        <f aca="false">'Qté 2027'!AO23*$C23</f>
        <v>8.805</v>
      </c>
      <c r="AP23" s="23" t="n">
        <f aca="false">'Qté 2027'!AP23*$C23</f>
        <v>8.805</v>
      </c>
      <c r="AQ23" s="23" t="n">
        <f aca="false">'Qté 2027'!AQ23*$C23</f>
        <v>11.6226</v>
      </c>
      <c r="AR23" s="23" t="n">
        <f aca="false">'Qté 2027'!AR23*$C23</f>
        <v>14.7924</v>
      </c>
      <c r="AS23" s="23" t="n">
        <f aca="false">'Qté 2027'!AS23*$C23</f>
        <v>17.61</v>
      </c>
      <c r="AT23" s="23" t="n">
        <f aca="false">'Qté 2027'!AT23*$C23</f>
        <v>14.7924</v>
      </c>
      <c r="AU23" s="23" t="n">
        <f aca="false">'Qté 2027'!AU23*$C23</f>
        <v>14.7924</v>
      </c>
      <c r="AV23" s="23" t="n">
        <f aca="false">'Qté 2027'!AV23*$C23</f>
        <v>14.7924</v>
      </c>
      <c r="AW23" s="23" t="n">
        <f aca="false">'Qté 2027'!AW23*$C23</f>
        <v>5.9874</v>
      </c>
      <c r="AX23" s="23" t="n">
        <f aca="false">'Qté 2027'!AX23*$C23</f>
        <v>0</v>
      </c>
      <c r="AY23" s="23" t="n">
        <f aca="false">'Qté 2027'!AY23*$C23</f>
        <v>0</v>
      </c>
      <c r="AZ23" s="23" t="n">
        <f aca="false">'Qté 2027'!AZ23*$C23</f>
        <v>0</v>
      </c>
      <c r="BA23" s="23" t="n">
        <f aca="false">'Qté 2027'!BA23*$C23</f>
        <v>0</v>
      </c>
      <c r="BB23" s="23" t="n">
        <f aca="false">'Qté 2027'!BB23*$C23</f>
        <v>0</v>
      </c>
      <c r="BC23" s="23" t="n">
        <f aca="false">'Qté 2027'!BC23*$C23</f>
        <v>0</v>
      </c>
      <c r="BD23" s="15" t="n">
        <f aca="false">SUM(D23:BC23)</f>
        <v>676.5762</v>
      </c>
    </row>
    <row r="24" customFormat="false" ht="15" hidden="false" customHeight="false" outlineLevel="0" collapsed="false">
      <c r="A24" s="5" t="s">
        <v>199</v>
      </c>
      <c r="B24" s="5" t="s">
        <v>51</v>
      </c>
      <c r="C24" s="22" t="n">
        <v>18</v>
      </c>
      <c r="D24" s="23" t="n">
        <f aca="false">'Qté 2027'!D24*$C24</f>
        <v>0</v>
      </c>
      <c r="E24" s="23" t="n">
        <f aca="false">'Qté 2027'!E24*$C24</f>
        <v>0</v>
      </c>
      <c r="F24" s="23" t="n">
        <f aca="false">'Qté 2027'!F24*$C24</f>
        <v>0</v>
      </c>
      <c r="G24" s="23" t="n">
        <f aca="false">'Qté 2027'!G24*$C24</f>
        <v>1.08</v>
      </c>
      <c r="H24" s="23" t="n">
        <f aca="false">'Qté 2027'!H24*$C24</f>
        <v>1.98</v>
      </c>
      <c r="I24" s="23" t="n">
        <f aca="false">'Qté 2027'!I24*$C24</f>
        <v>1.08</v>
      </c>
      <c r="J24" s="23" t="n">
        <f aca="false">'Qté 2027'!J24*$C24</f>
        <v>1.44</v>
      </c>
      <c r="K24" s="23" t="n">
        <f aca="false">'Qté 2027'!K24*$C24</f>
        <v>2.88</v>
      </c>
      <c r="L24" s="23" t="n">
        <f aca="false">'Qté 2027'!L24*$C24</f>
        <v>4.32</v>
      </c>
      <c r="M24" s="23" t="n">
        <f aca="false">'Qté 2027'!M24*$C24</f>
        <v>5.76</v>
      </c>
      <c r="N24" s="23" t="n">
        <f aca="false">'Qté 2027'!N24*$C24</f>
        <v>7.74</v>
      </c>
      <c r="O24" s="23" t="n">
        <f aca="false">'Qté 2027'!O24*$C24</f>
        <v>10.44</v>
      </c>
      <c r="P24" s="23" t="n">
        <f aca="false">'Qté 2027'!P24*$C24</f>
        <v>7.2</v>
      </c>
      <c r="Q24" s="23" t="n">
        <f aca="false">'Qté 2027'!Q24*$C24</f>
        <v>2.7</v>
      </c>
      <c r="R24" s="23" t="n">
        <f aca="false">'Qté 2027'!R24*$C24</f>
        <v>3.42</v>
      </c>
      <c r="S24" s="23" t="n">
        <f aca="false">'Qté 2027'!S24*$C24</f>
        <v>11.52</v>
      </c>
      <c r="T24" s="23" t="n">
        <f aca="false">'Qté 2027'!T24*$C24</f>
        <v>21.42</v>
      </c>
      <c r="U24" s="23" t="n">
        <f aca="false">'Qté 2027'!U24*$C24</f>
        <v>22.5</v>
      </c>
      <c r="V24" s="23" t="n">
        <f aca="false">'Qté 2027'!V24*$C24</f>
        <v>21.42</v>
      </c>
      <c r="W24" s="23" t="n">
        <f aca="false">'Qté 2027'!W24*$C24</f>
        <v>30.24</v>
      </c>
      <c r="X24" s="23" t="n">
        <f aca="false">'Qté 2027'!X24*$C24</f>
        <v>43.38</v>
      </c>
      <c r="Y24" s="23" t="n">
        <f aca="false">'Qté 2027'!Y24*$C24</f>
        <v>40.32</v>
      </c>
      <c r="Z24" s="23" t="n">
        <f aca="false">'Qté 2027'!Z24*$C24</f>
        <v>30.24</v>
      </c>
      <c r="AA24" s="23" t="n">
        <f aca="false">'Qté 2027'!AA24*$C24</f>
        <v>24.48</v>
      </c>
      <c r="AB24" s="23" t="n">
        <f aca="false">'Qté 2027'!AB24*$C24</f>
        <v>22.14</v>
      </c>
      <c r="AC24" s="23" t="n">
        <f aca="false">'Qté 2027'!AC24*$C24</f>
        <v>29.7</v>
      </c>
      <c r="AD24" s="23" t="n">
        <f aca="false">'Qté 2027'!AD24*$C24</f>
        <v>28.8</v>
      </c>
      <c r="AE24" s="23" t="n">
        <f aca="false">'Qté 2027'!AE24*$C24</f>
        <v>22.68</v>
      </c>
      <c r="AF24" s="23" t="n">
        <f aca="false">'Qté 2027'!AF24*$C24</f>
        <v>28.26</v>
      </c>
      <c r="AG24" s="23" t="n">
        <f aca="false">'Qté 2027'!AG24*$C24</f>
        <v>27</v>
      </c>
      <c r="AH24" s="23" t="n">
        <f aca="false">'Qté 2027'!AH24*$C24</f>
        <v>21.78</v>
      </c>
      <c r="AI24" s="23" t="n">
        <f aca="false">'Qté 2027'!AI24*$C24</f>
        <v>20.88</v>
      </c>
      <c r="AJ24" s="23" t="n">
        <f aca="false">'Qté 2027'!AJ24*$C24</f>
        <v>12.24</v>
      </c>
      <c r="AK24" s="23" t="n">
        <f aca="false">'Qté 2027'!AK24*$C24</f>
        <v>11.88</v>
      </c>
      <c r="AL24" s="23" t="n">
        <f aca="false">'Qté 2027'!AL24*$C24</f>
        <v>22.14</v>
      </c>
      <c r="AM24" s="23" t="n">
        <f aca="false">'Qté 2027'!AM24*$C24</f>
        <v>25.2</v>
      </c>
      <c r="AN24" s="23" t="n">
        <f aca="false">'Qté 2027'!AN24*$C24</f>
        <v>25.2</v>
      </c>
      <c r="AO24" s="23" t="n">
        <f aca="false">'Qté 2027'!AO24*$C24</f>
        <v>19.98</v>
      </c>
      <c r="AP24" s="23" t="n">
        <f aca="false">'Qté 2027'!AP24*$C24</f>
        <v>12.24</v>
      </c>
      <c r="AQ24" s="23" t="n">
        <f aca="false">'Qté 2027'!AQ24*$C24</f>
        <v>13.14</v>
      </c>
      <c r="AR24" s="23" t="n">
        <f aca="false">'Qté 2027'!AR24*$C24</f>
        <v>13.5</v>
      </c>
      <c r="AS24" s="23" t="n">
        <f aca="false">'Qté 2027'!AS24*$C24</f>
        <v>6.66</v>
      </c>
      <c r="AT24" s="23" t="n">
        <f aca="false">'Qté 2027'!AT24*$C24</f>
        <v>2.16</v>
      </c>
      <c r="AU24" s="23" t="n">
        <f aca="false">'Qté 2027'!AU24*$C24</f>
        <v>2.7</v>
      </c>
      <c r="AV24" s="23" t="n">
        <f aca="false">'Qté 2027'!AV24*$C24</f>
        <v>2.7</v>
      </c>
      <c r="AW24" s="23" t="n">
        <f aca="false">'Qté 2027'!AW24*$C24</f>
        <v>0.9</v>
      </c>
      <c r="AX24" s="23" t="n">
        <f aca="false">'Qté 2027'!AX24*$C24</f>
        <v>1.44</v>
      </c>
      <c r="AY24" s="23" t="n">
        <f aca="false">'Qté 2027'!AY24*$C24</f>
        <v>3.06</v>
      </c>
      <c r="AZ24" s="23" t="n">
        <f aca="false">'Qté 2027'!AZ24*$C24</f>
        <v>1.44</v>
      </c>
      <c r="BA24" s="23" t="n">
        <f aca="false">'Qté 2027'!BA24*$C24</f>
        <v>0</v>
      </c>
      <c r="BB24" s="23" t="n">
        <f aca="false">'Qté 2027'!BB24*$C24</f>
        <v>0</v>
      </c>
      <c r="BC24" s="23" t="n">
        <f aca="false">'Qté 2027'!BC24*$C24</f>
        <v>0</v>
      </c>
      <c r="BD24" s="15" t="n">
        <f aca="false">SUM(D24:BC24)</f>
        <v>673.38</v>
      </c>
    </row>
    <row r="25" customFormat="false" ht="15" hidden="false" customHeight="false" outlineLevel="0" collapsed="false">
      <c r="A25" s="5" t="s">
        <v>200</v>
      </c>
      <c r="B25" s="5" t="s">
        <v>57</v>
      </c>
      <c r="C25" s="22" t="n">
        <v>19</v>
      </c>
      <c r="D25" s="23" t="n">
        <f aca="false">'Qté 2027'!D25*$C25</f>
        <v>2.66</v>
      </c>
      <c r="E25" s="23" t="n">
        <f aca="false">'Qté 2027'!E25*$C25</f>
        <v>5.13</v>
      </c>
      <c r="F25" s="23" t="n">
        <f aca="false">'Qté 2027'!F25*$C25</f>
        <v>2.66</v>
      </c>
      <c r="G25" s="23" t="n">
        <f aca="false">'Qté 2027'!G25*$C25</f>
        <v>0</v>
      </c>
      <c r="H25" s="23" t="n">
        <f aca="false">'Qté 2027'!H25*$C25</f>
        <v>0</v>
      </c>
      <c r="I25" s="23" t="n">
        <f aca="false">'Qté 2027'!I25*$C25</f>
        <v>0</v>
      </c>
      <c r="J25" s="23" t="n">
        <f aca="false">'Qté 2027'!J25*$C25</f>
        <v>0</v>
      </c>
      <c r="K25" s="23" t="n">
        <f aca="false">'Qté 2027'!K25*$C25</f>
        <v>0</v>
      </c>
      <c r="L25" s="23" t="n">
        <f aca="false">'Qté 2027'!L25*$C25</f>
        <v>0</v>
      </c>
      <c r="M25" s="23" t="n">
        <f aca="false">'Qté 2027'!M25*$C25</f>
        <v>0</v>
      </c>
      <c r="N25" s="23" t="n">
        <f aca="false">'Qté 2027'!N25*$C25</f>
        <v>0</v>
      </c>
      <c r="O25" s="23" t="n">
        <f aca="false">'Qté 2027'!O25*$C25</f>
        <v>4.56</v>
      </c>
      <c r="P25" s="23" t="n">
        <f aca="false">'Qté 2027'!P25*$C25</f>
        <v>13.49</v>
      </c>
      <c r="Q25" s="23" t="n">
        <f aca="false">'Qté 2027'!Q25*$C25</f>
        <v>13.87</v>
      </c>
      <c r="R25" s="23" t="n">
        <f aca="false">'Qté 2027'!R25*$C25</f>
        <v>8.36</v>
      </c>
      <c r="S25" s="23" t="n">
        <f aca="false">'Qté 2027'!S25*$C25</f>
        <v>6.84</v>
      </c>
      <c r="T25" s="23" t="n">
        <f aca="false">'Qté 2027'!T25*$C25</f>
        <v>8.74</v>
      </c>
      <c r="U25" s="23" t="n">
        <f aca="false">'Qté 2027'!U25*$C25</f>
        <v>20.52</v>
      </c>
      <c r="V25" s="23" t="n">
        <f aca="false">'Qté 2027'!V25*$C25</f>
        <v>34.01</v>
      </c>
      <c r="W25" s="23" t="n">
        <f aca="false">'Qté 2027'!W25*$C25</f>
        <v>29.64</v>
      </c>
      <c r="X25" s="23" t="n">
        <f aca="false">'Qté 2027'!X25*$C25</f>
        <v>48.26</v>
      </c>
      <c r="Y25" s="23" t="n">
        <f aca="false">'Qté 2027'!Y25*$C25</f>
        <v>82.84</v>
      </c>
      <c r="Z25" s="23" t="n">
        <f aca="false">'Qté 2027'!Z25*$C25</f>
        <v>65.93</v>
      </c>
      <c r="AA25" s="23" t="n">
        <f aca="false">'Qté 2027'!AA25*$C25</f>
        <v>34.2</v>
      </c>
      <c r="AB25" s="23" t="n">
        <f aca="false">'Qté 2027'!AB25*$C25</f>
        <v>29.64</v>
      </c>
      <c r="AC25" s="23" t="n">
        <f aca="false">'Qté 2027'!AC25*$C25</f>
        <v>28.69</v>
      </c>
      <c r="AD25" s="23" t="n">
        <f aca="false">'Qté 2027'!AD25*$C25</f>
        <v>14.82</v>
      </c>
      <c r="AE25" s="23" t="n">
        <f aca="false">'Qté 2027'!AE25*$C25</f>
        <v>19.57</v>
      </c>
      <c r="AF25" s="23" t="n">
        <f aca="false">'Qté 2027'!AF25*$C25</f>
        <v>45.41</v>
      </c>
      <c r="AG25" s="23" t="n">
        <f aca="false">'Qté 2027'!AG25*$C25</f>
        <v>43.89</v>
      </c>
      <c r="AH25" s="23" t="n">
        <f aca="false">'Qté 2027'!AH25*$C25</f>
        <v>35.34</v>
      </c>
      <c r="AI25" s="23" t="n">
        <f aca="false">'Qté 2027'!AI25*$C25</f>
        <v>34.39</v>
      </c>
      <c r="AJ25" s="23" t="n">
        <f aca="false">'Qté 2027'!AJ25*$C25</f>
        <v>16.15</v>
      </c>
      <c r="AK25" s="23" t="n">
        <f aca="false">'Qté 2027'!AK25*$C25</f>
        <v>2.85</v>
      </c>
      <c r="AL25" s="23" t="n">
        <f aca="false">'Qté 2027'!AL25*$C25</f>
        <v>3.8</v>
      </c>
      <c r="AM25" s="23" t="n">
        <f aca="false">'Qté 2027'!AM25*$C25</f>
        <v>1.9</v>
      </c>
      <c r="AN25" s="23" t="n">
        <f aca="false">'Qté 2027'!AN25*$C25</f>
        <v>0.95</v>
      </c>
      <c r="AO25" s="23" t="n">
        <f aca="false">'Qté 2027'!AO25*$C25</f>
        <v>1.9</v>
      </c>
      <c r="AP25" s="23" t="n">
        <f aca="false">'Qté 2027'!AP25*$C25</f>
        <v>0.95</v>
      </c>
      <c r="AQ25" s="23" t="n">
        <f aca="false">'Qté 2027'!AQ25*$C25</f>
        <v>0</v>
      </c>
      <c r="AR25" s="23" t="n">
        <f aca="false">'Qté 2027'!AR25*$C25</f>
        <v>0</v>
      </c>
      <c r="AS25" s="23" t="n">
        <f aca="false">'Qté 2027'!AS25*$C25</f>
        <v>0</v>
      </c>
      <c r="AT25" s="23" t="n">
        <f aca="false">'Qté 2027'!AT25*$C25</f>
        <v>0</v>
      </c>
      <c r="AU25" s="23" t="n">
        <f aca="false">'Qté 2027'!AU25*$C25</f>
        <v>0</v>
      </c>
      <c r="AV25" s="23" t="n">
        <f aca="false">'Qté 2027'!AV25*$C25</f>
        <v>0</v>
      </c>
      <c r="AW25" s="23" t="n">
        <f aca="false">'Qté 2027'!AW25*$C25</f>
        <v>0</v>
      </c>
      <c r="AX25" s="23" t="n">
        <f aca="false">'Qté 2027'!AX25*$C25</f>
        <v>0</v>
      </c>
      <c r="AY25" s="23" t="n">
        <f aca="false">'Qté 2027'!AY25*$C25</f>
        <v>0</v>
      </c>
      <c r="AZ25" s="23" t="n">
        <f aca="false">'Qté 2027'!AZ25*$C25</f>
        <v>0</v>
      </c>
      <c r="BA25" s="23" t="n">
        <f aca="false">'Qté 2027'!BA25*$C25</f>
        <v>0</v>
      </c>
      <c r="BB25" s="23" t="n">
        <f aca="false">'Qté 2027'!BB25*$C25</f>
        <v>0</v>
      </c>
      <c r="BC25" s="23" t="n">
        <f aca="false">'Qté 2027'!BC25*$C25</f>
        <v>0</v>
      </c>
      <c r="BD25" s="15" t="n">
        <f aca="false">SUM(D25:BC25)</f>
        <v>661.96</v>
      </c>
    </row>
    <row r="26" customFormat="false" ht="15" hidden="false" customHeight="false" outlineLevel="0" collapsed="false">
      <c r="A26" s="5" t="s">
        <v>201</v>
      </c>
      <c r="B26" s="5" t="s">
        <v>69</v>
      </c>
      <c r="C26" s="22" t="n">
        <v>98.28</v>
      </c>
      <c r="D26" s="23" t="n">
        <f aca="false">'Qté 2027'!D26*$C26</f>
        <v>7.8624</v>
      </c>
      <c r="E26" s="23" t="n">
        <f aca="false">'Qté 2027'!E26*$C26</f>
        <v>15.7248</v>
      </c>
      <c r="F26" s="23" t="n">
        <f aca="false">'Qté 2027'!F26*$C26</f>
        <v>7.8624</v>
      </c>
      <c r="G26" s="23" t="n">
        <f aca="false">'Qté 2027'!G26*$C26</f>
        <v>0</v>
      </c>
      <c r="H26" s="23" t="n">
        <f aca="false">'Qté 2027'!H26*$C26</f>
        <v>0</v>
      </c>
      <c r="I26" s="23" t="n">
        <f aca="false">'Qté 2027'!I26*$C26</f>
        <v>0</v>
      </c>
      <c r="J26" s="23" t="n">
        <f aca="false">'Qté 2027'!J26*$C26</f>
        <v>0</v>
      </c>
      <c r="K26" s="23" t="n">
        <f aca="false">'Qté 2027'!K26*$C26</f>
        <v>0</v>
      </c>
      <c r="L26" s="23" t="n">
        <f aca="false">'Qté 2027'!L26*$C26</f>
        <v>0</v>
      </c>
      <c r="M26" s="23" t="n">
        <f aca="false">'Qté 2027'!M26*$C26</f>
        <v>0</v>
      </c>
      <c r="N26" s="23" t="n">
        <f aca="false">'Qté 2027'!N26*$C26</f>
        <v>0</v>
      </c>
      <c r="O26" s="23" t="n">
        <f aca="false">'Qté 2027'!O26*$C26</f>
        <v>5.8968</v>
      </c>
      <c r="P26" s="23" t="n">
        <f aca="false">'Qté 2027'!P26*$C26</f>
        <v>10.8108</v>
      </c>
      <c r="Q26" s="23" t="n">
        <f aca="false">'Qté 2027'!Q26*$C26</f>
        <v>5.8968</v>
      </c>
      <c r="R26" s="23" t="n">
        <f aca="false">'Qté 2027'!R26*$C26</f>
        <v>2.9484</v>
      </c>
      <c r="S26" s="23" t="n">
        <f aca="false">'Qté 2027'!S26*$C26</f>
        <v>22.6044</v>
      </c>
      <c r="T26" s="23" t="n">
        <f aca="false">'Qté 2027'!T26*$C26</f>
        <v>34.398</v>
      </c>
      <c r="U26" s="23" t="n">
        <f aca="false">'Qté 2027'!U26*$C26</f>
        <v>19.656</v>
      </c>
      <c r="V26" s="23" t="n">
        <f aca="false">'Qté 2027'!V26*$C26</f>
        <v>24.57</v>
      </c>
      <c r="W26" s="23" t="n">
        <f aca="false">'Qté 2027'!W26*$C26</f>
        <v>46.1916</v>
      </c>
      <c r="X26" s="23" t="n">
        <f aca="false">'Qté 2027'!X26*$C26</f>
        <v>46.1916</v>
      </c>
      <c r="Y26" s="23" t="n">
        <f aca="false">'Qté 2027'!Y26*$C26</f>
        <v>28.5012</v>
      </c>
      <c r="Z26" s="23" t="n">
        <f aca="false">'Qté 2027'!Z26*$C26</f>
        <v>11.7936</v>
      </c>
      <c r="AA26" s="23" t="n">
        <f aca="false">'Qté 2027'!AA26*$C26</f>
        <v>31.4496</v>
      </c>
      <c r="AB26" s="23" t="n">
        <f aca="false">'Qté 2027'!AB26*$C26</f>
        <v>62.8992</v>
      </c>
      <c r="AC26" s="23" t="n">
        <f aca="false">'Qté 2027'!AC26*$C26</f>
        <v>46.1916</v>
      </c>
      <c r="AD26" s="23" t="n">
        <f aca="false">'Qté 2027'!AD26*$C26</f>
        <v>18.6732</v>
      </c>
      <c r="AE26" s="23" t="n">
        <f aca="false">'Qté 2027'!AE26*$C26</f>
        <v>15.7248</v>
      </c>
      <c r="AF26" s="23" t="n">
        <f aca="false">'Qté 2027'!AF26*$C26</f>
        <v>7.8624</v>
      </c>
      <c r="AG26" s="23" t="n">
        <f aca="false">'Qté 2027'!AG26*$C26</f>
        <v>0</v>
      </c>
      <c r="AH26" s="23" t="n">
        <f aca="false">'Qté 2027'!AH26*$C26</f>
        <v>11.7936</v>
      </c>
      <c r="AI26" s="23" t="n">
        <f aca="false">'Qté 2027'!AI26*$C26</f>
        <v>31.4496</v>
      </c>
      <c r="AJ26" s="23" t="n">
        <f aca="false">'Qté 2027'!AJ26*$C26</f>
        <v>32.4324</v>
      </c>
      <c r="AK26" s="23" t="n">
        <f aca="false">'Qté 2027'!AK26*$C26</f>
        <v>26.5356</v>
      </c>
      <c r="AL26" s="23" t="n">
        <f aca="false">'Qté 2027'!AL26*$C26</f>
        <v>26.5356</v>
      </c>
      <c r="AM26" s="23" t="n">
        <f aca="false">'Qté 2027'!AM26*$C26</f>
        <v>17.6904</v>
      </c>
      <c r="AN26" s="23" t="n">
        <f aca="false">'Qté 2027'!AN26*$C26</f>
        <v>4.914</v>
      </c>
      <c r="AO26" s="23" t="n">
        <f aca="false">'Qté 2027'!AO26*$C26</f>
        <v>4.914</v>
      </c>
      <c r="AP26" s="23" t="n">
        <f aca="false">'Qté 2027'!AP26*$C26</f>
        <v>9.828</v>
      </c>
      <c r="AQ26" s="23" t="n">
        <f aca="false">'Qté 2027'!AQ26*$C26</f>
        <v>4.914</v>
      </c>
      <c r="AR26" s="23" t="n">
        <f aca="false">'Qté 2027'!AR26*$C26</f>
        <v>0</v>
      </c>
      <c r="AS26" s="23" t="n">
        <f aca="false">'Qté 2027'!AS26*$C26</f>
        <v>0</v>
      </c>
      <c r="AT26" s="23" t="n">
        <f aca="false">'Qté 2027'!AT26*$C26</f>
        <v>0</v>
      </c>
      <c r="AU26" s="23" t="n">
        <f aca="false">'Qté 2027'!AU26*$C26</f>
        <v>0</v>
      </c>
      <c r="AV26" s="23" t="n">
        <f aca="false">'Qté 2027'!AV26*$C26</f>
        <v>0</v>
      </c>
      <c r="AW26" s="23" t="n">
        <f aca="false">'Qté 2027'!AW26*$C26</f>
        <v>0</v>
      </c>
      <c r="AX26" s="23" t="n">
        <f aca="false">'Qté 2027'!AX26*$C26</f>
        <v>0</v>
      </c>
      <c r="AY26" s="23" t="n">
        <f aca="false">'Qté 2027'!AY26*$C26</f>
        <v>0</v>
      </c>
      <c r="AZ26" s="23" t="n">
        <f aca="false">'Qté 2027'!AZ26*$C26</f>
        <v>0</v>
      </c>
      <c r="BA26" s="23" t="n">
        <f aca="false">'Qté 2027'!BA26*$C26</f>
        <v>0</v>
      </c>
      <c r="BB26" s="23" t="n">
        <f aca="false">'Qté 2027'!BB26*$C26</f>
        <v>0</v>
      </c>
      <c r="BC26" s="23" t="n">
        <f aca="false">'Qté 2027'!BC26*$C26</f>
        <v>0</v>
      </c>
      <c r="BD26" s="15" t="n">
        <f aca="false">SUM(D26:BC26)</f>
        <v>644.7168</v>
      </c>
    </row>
    <row r="27" customFormat="false" ht="15" hidden="false" customHeight="false" outlineLevel="0" collapsed="false">
      <c r="A27" s="5" t="s">
        <v>202</v>
      </c>
      <c r="B27" s="5" t="s">
        <v>69</v>
      </c>
      <c r="C27" s="22" t="n">
        <v>43.69</v>
      </c>
      <c r="D27" s="23" t="n">
        <f aca="false">'Qté 2027'!D27*$C27</f>
        <v>0</v>
      </c>
      <c r="E27" s="23" t="n">
        <f aca="false">'Qté 2027'!E27*$C27</f>
        <v>0</v>
      </c>
      <c r="F27" s="23" t="n">
        <f aca="false">'Qté 2027'!F27*$C27</f>
        <v>0</v>
      </c>
      <c r="G27" s="23" t="n">
        <f aca="false">'Qté 2027'!G27*$C27</f>
        <v>0</v>
      </c>
      <c r="H27" s="23" t="n">
        <f aca="false">'Qté 2027'!H27*$C27</f>
        <v>0</v>
      </c>
      <c r="I27" s="23" t="n">
        <f aca="false">'Qté 2027'!I27*$C27</f>
        <v>0</v>
      </c>
      <c r="J27" s="23" t="n">
        <f aca="false">'Qté 2027'!J27*$C27</f>
        <v>0</v>
      </c>
      <c r="K27" s="23" t="n">
        <f aca="false">'Qté 2027'!K27*$C27</f>
        <v>3.4952</v>
      </c>
      <c r="L27" s="23" t="n">
        <f aca="false">'Qté 2027'!L27*$C27</f>
        <v>6.9904</v>
      </c>
      <c r="M27" s="23" t="n">
        <f aca="false">'Qté 2027'!M27*$C27</f>
        <v>3.4952</v>
      </c>
      <c r="N27" s="23" t="n">
        <f aca="false">'Qté 2027'!N27*$C27</f>
        <v>0</v>
      </c>
      <c r="O27" s="23" t="n">
        <f aca="false">'Qté 2027'!O27*$C27</f>
        <v>0</v>
      </c>
      <c r="P27" s="23" t="n">
        <f aca="false">'Qté 2027'!P27*$C27</f>
        <v>0</v>
      </c>
      <c r="Q27" s="23" t="n">
        <f aca="false">'Qté 2027'!Q27*$C27</f>
        <v>2.6214</v>
      </c>
      <c r="R27" s="23" t="n">
        <f aca="false">'Qté 2027'!R27*$C27</f>
        <v>4.8059</v>
      </c>
      <c r="S27" s="23" t="n">
        <f aca="false">'Qté 2027'!S27*$C27</f>
        <v>2.6214</v>
      </c>
      <c r="T27" s="23" t="n">
        <f aca="false">'Qté 2027'!T27*$C27</f>
        <v>3.4952</v>
      </c>
      <c r="U27" s="23" t="n">
        <f aca="false">'Qté 2027'!U27*$C27</f>
        <v>19.6605</v>
      </c>
      <c r="V27" s="23" t="n">
        <f aca="false">'Qté 2027'!V27*$C27</f>
        <v>35.8258</v>
      </c>
      <c r="W27" s="23" t="n">
        <f aca="false">'Qté 2027'!W27*$C27</f>
        <v>30.1461</v>
      </c>
      <c r="X27" s="23" t="n">
        <f aca="false">'Qté 2027'!X27*$C27</f>
        <v>17.476</v>
      </c>
      <c r="Y27" s="23" t="n">
        <f aca="false">'Qté 2027'!Y27*$C27</f>
        <v>17.476</v>
      </c>
      <c r="Z27" s="23" t="n">
        <f aca="false">'Qté 2027'!Z27*$C27</f>
        <v>20.5343</v>
      </c>
      <c r="AA27" s="23" t="n">
        <f aca="false">'Qté 2027'!AA27*$C27</f>
        <v>20.5343</v>
      </c>
      <c r="AB27" s="23" t="n">
        <f aca="false">'Qté 2027'!AB27*$C27</f>
        <v>27.5247</v>
      </c>
      <c r="AC27" s="23" t="n">
        <f aca="false">'Qté 2027'!AC27*$C27</f>
        <v>45.0007</v>
      </c>
      <c r="AD27" s="23" t="n">
        <f aca="false">'Qté 2027'!AD27*$C27</f>
        <v>47.1852</v>
      </c>
      <c r="AE27" s="23" t="n">
        <f aca="false">'Qté 2027'!AE27*$C27</f>
        <v>22.2819</v>
      </c>
      <c r="AF27" s="23" t="n">
        <f aca="false">'Qté 2027'!AF27*$C27</f>
        <v>17.9129</v>
      </c>
      <c r="AG27" s="23" t="n">
        <f aca="false">'Qté 2027'!AG27*$C27</f>
        <v>40.6317</v>
      </c>
      <c r="AH27" s="23" t="n">
        <f aca="false">'Qté 2027'!AH27*$C27</f>
        <v>47.1852</v>
      </c>
      <c r="AI27" s="23" t="n">
        <f aca="false">'Qté 2027'!AI27*$C27</f>
        <v>37.1365</v>
      </c>
      <c r="AJ27" s="23" t="n">
        <f aca="false">'Qté 2027'!AJ27*$C27</f>
        <v>18.7867</v>
      </c>
      <c r="AK27" s="23" t="n">
        <f aca="false">'Qté 2027'!AK27*$C27</f>
        <v>7.4273</v>
      </c>
      <c r="AL27" s="23" t="n">
        <f aca="false">'Qté 2027'!AL27*$C27</f>
        <v>17.476</v>
      </c>
      <c r="AM27" s="23" t="n">
        <f aca="false">'Qté 2027'!AM27*$C27</f>
        <v>24.0295</v>
      </c>
      <c r="AN27" s="23" t="n">
        <f aca="false">'Qté 2027'!AN27*$C27</f>
        <v>10.0487</v>
      </c>
      <c r="AO27" s="23" t="n">
        <f aca="false">'Qté 2027'!AO27*$C27</f>
        <v>5.2428</v>
      </c>
      <c r="AP27" s="23" t="n">
        <f aca="false">'Qté 2027'!AP27*$C27</f>
        <v>10.0487</v>
      </c>
      <c r="AQ27" s="23" t="n">
        <f aca="false">'Qté 2027'!AQ27*$C27</f>
        <v>5.2428</v>
      </c>
      <c r="AR27" s="23" t="n">
        <f aca="false">'Qté 2027'!AR27*$C27</f>
        <v>0</v>
      </c>
      <c r="AS27" s="23" t="n">
        <f aca="false">'Qté 2027'!AS27*$C27</f>
        <v>0</v>
      </c>
      <c r="AT27" s="23" t="n">
        <f aca="false">'Qté 2027'!AT27*$C27</f>
        <v>7.4273</v>
      </c>
      <c r="AU27" s="23" t="n">
        <f aca="false">'Qté 2027'!AU27*$C27</f>
        <v>24.4664</v>
      </c>
      <c r="AV27" s="23" t="n">
        <f aca="false">'Qté 2027'!AV27*$C27</f>
        <v>27.5247</v>
      </c>
      <c r="AW27" s="23" t="n">
        <f aca="false">'Qté 2027'!AW27*$C27</f>
        <v>10.0487</v>
      </c>
      <c r="AX27" s="23" t="n">
        <f aca="false">'Qté 2027'!AX27*$C27</f>
        <v>0</v>
      </c>
      <c r="AY27" s="23" t="n">
        <f aca="false">'Qté 2027'!AY27*$C27</f>
        <v>0</v>
      </c>
      <c r="AZ27" s="23" t="n">
        <f aca="false">'Qté 2027'!AZ27*$C27</f>
        <v>0</v>
      </c>
      <c r="BA27" s="23" t="n">
        <f aca="false">'Qté 2027'!BA27*$C27</f>
        <v>0</v>
      </c>
      <c r="BB27" s="23" t="n">
        <f aca="false">'Qté 2027'!BB27*$C27</f>
        <v>0</v>
      </c>
      <c r="BC27" s="23" t="n">
        <f aca="false">'Qté 2027'!BC27*$C27</f>
        <v>0</v>
      </c>
      <c r="BD27" s="15" t="n">
        <f aca="false">SUM(D27:BC27)</f>
        <v>641.8061</v>
      </c>
    </row>
    <row r="28" customFormat="false" ht="15" hidden="false" customHeight="false" outlineLevel="0" collapsed="false">
      <c r="A28" s="5" t="s">
        <v>203</v>
      </c>
      <c r="B28" s="5" t="s">
        <v>69</v>
      </c>
      <c r="C28" s="22" t="n">
        <v>44.79</v>
      </c>
      <c r="D28" s="23" t="n">
        <f aca="false">'Qté 2027'!D28*$C28</f>
        <v>0</v>
      </c>
      <c r="E28" s="23" t="n">
        <f aca="false">'Qté 2027'!E28*$C28</f>
        <v>0</v>
      </c>
      <c r="F28" s="23" t="n">
        <f aca="false">'Qté 2027'!F28*$C28</f>
        <v>0</v>
      </c>
      <c r="G28" s="23" t="n">
        <f aca="false">'Qté 2027'!G28*$C28</f>
        <v>0</v>
      </c>
      <c r="H28" s="23" t="n">
        <f aca="false">'Qté 2027'!H28*$C28</f>
        <v>0</v>
      </c>
      <c r="I28" s="23" t="n">
        <f aca="false">'Qté 2027'!I28*$C28</f>
        <v>0</v>
      </c>
      <c r="J28" s="23" t="n">
        <f aca="false">'Qté 2027'!J28*$C28</f>
        <v>0</v>
      </c>
      <c r="K28" s="23" t="n">
        <f aca="false">'Qté 2027'!K28*$C28</f>
        <v>0</v>
      </c>
      <c r="L28" s="23" t="n">
        <f aca="false">'Qté 2027'!L28*$C28</f>
        <v>0</v>
      </c>
      <c r="M28" s="23" t="n">
        <f aca="false">'Qté 2027'!M28*$C28</f>
        <v>0</v>
      </c>
      <c r="N28" s="23" t="n">
        <f aca="false">'Qté 2027'!N28*$C28</f>
        <v>2.6874</v>
      </c>
      <c r="O28" s="23" t="n">
        <f aca="false">'Qté 2027'!O28*$C28</f>
        <v>4.9269</v>
      </c>
      <c r="P28" s="23" t="n">
        <f aca="false">'Qté 2027'!P28*$C28</f>
        <v>4.9269</v>
      </c>
      <c r="Q28" s="23" t="n">
        <f aca="false">'Qté 2027'!Q28*$C28</f>
        <v>11.1975</v>
      </c>
      <c r="R28" s="23" t="n">
        <f aca="false">'Qté 2027'!R28*$C28</f>
        <v>28.6656</v>
      </c>
      <c r="S28" s="23" t="n">
        <f aca="false">'Qté 2027'!S28*$C28</f>
        <v>34.4883</v>
      </c>
      <c r="T28" s="23" t="n">
        <f aca="false">'Qté 2027'!T28*$C28</f>
        <v>17.916</v>
      </c>
      <c r="U28" s="23" t="n">
        <f aca="false">'Qté 2027'!U28*$C28</f>
        <v>20.1555</v>
      </c>
      <c r="V28" s="23" t="n">
        <f aca="false">'Qté 2027'!V28*$C28</f>
        <v>34.0404</v>
      </c>
      <c r="W28" s="23" t="n">
        <f aca="false">'Qté 2027'!W28*$C28</f>
        <v>29.5614</v>
      </c>
      <c r="X28" s="23" t="n">
        <f aca="false">'Qté 2027'!X28*$C28</f>
        <v>28.2177</v>
      </c>
      <c r="Y28" s="23" t="n">
        <f aca="false">'Qté 2027'!Y28*$C28</f>
        <v>24.1866</v>
      </c>
      <c r="Z28" s="23" t="n">
        <f aca="false">'Qté 2027'!Z28*$C28</f>
        <v>15.6765</v>
      </c>
      <c r="AA28" s="23" t="n">
        <f aca="false">'Qté 2027'!AA28*$C28</f>
        <v>26.4261</v>
      </c>
      <c r="AB28" s="23" t="n">
        <f aca="false">'Qté 2027'!AB28*$C28</f>
        <v>43.8942</v>
      </c>
      <c r="AC28" s="23" t="n">
        <f aca="false">'Qté 2027'!AC28*$C28</f>
        <v>54.1959</v>
      </c>
      <c r="AD28" s="23" t="n">
        <f aca="false">'Qté 2027'!AD28*$C28</f>
        <v>50.6127</v>
      </c>
      <c r="AE28" s="23" t="n">
        <f aca="false">'Qté 2027'!AE28*$C28</f>
        <v>28.6656</v>
      </c>
      <c r="AF28" s="23" t="n">
        <f aca="false">'Qté 2027'!AF28*$C28</f>
        <v>12.0933</v>
      </c>
      <c r="AG28" s="23" t="n">
        <f aca="false">'Qté 2027'!AG28*$C28</f>
        <v>24.6345</v>
      </c>
      <c r="AH28" s="23" t="n">
        <f aca="false">'Qté 2027'!AH28*$C28</f>
        <v>33.5925</v>
      </c>
      <c r="AI28" s="23" t="n">
        <f aca="false">'Qté 2027'!AI28*$C28</f>
        <v>17.916</v>
      </c>
      <c r="AJ28" s="23" t="n">
        <f aca="false">'Qté 2027'!AJ28*$C28</f>
        <v>7.6143</v>
      </c>
      <c r="AK28" s="23" t="n">
        <f aca="false">'Qté 2027'!AK28*$C28</f>
        <v>7.6143</v>
      </c>
      <c r="AL28" s="23" t="n">
        <f aca="false">'Qté 2027'!AL28*$C28</f>
        <v>7.6143</v>
      </c>
      <c r="AM28" s="23" t="n">
        <f aca="false">'Qté 2027'!AM28*$C28</f>
        <v>3.5832</v>
      </c>
      <c r="AN28" s="23" t="n">
        <f aca="false">'Qté 2027'!AN28*$C28</f>
        <v>0</v>
      </c>
      <c r="AO28" s="23" t="n">
        <f aca="false">'Qté 2027'!AO28*$C28</f>
        <v>3.5832</v>
      </c>
      <c r="AP28" s="23" t="n">
        <f aca="false">'Qté 2027'!AP28*$C28</f>
        <v>7.6143</v>
      </c>
      <c r="AQ28" s="23" t="n">
        <f aca="false">'Qté 2027'!AQ28*$C28</f>
        <v>3.5832</v>
      </c>
      <c r="AR28" s="23" t="n">
        <f aca="false">'Qté 2027'!AR28*$C28</f>
        <v>3.5832</v>
      </c>
      <c r="AS28" s="23" t="n">
        <f aca="false">'Qté 2027'!AS28*$C28</f>
        <v>11.1975</v>
      </c>
      <c r="AT28" s="23" t="n">
        <f aca="false">'Qté 2027'!AT28*$C28</f>
        <v>11.1975</v>
      </c>
      <c r="AU28" s="23" t="n">
        <f aca="false">'Qté 2027'!AU28*$C28</f>
        <v>3.5832</v>
      </c>
      <c r="AV28" s="23" t="n">
        <f aca="false">'Qté 2027'!AV28*$C28</f>
        <v>0</v>
      </c>
      <c r="AW28" s="23" t="n">
        <f aca="false">'Qté 2027'!AW28*$C28</f>
        <v>0</v>
      </c>
      <c r="AX28" s="23" t="n">
        <f aca="false">'Qté 2027'!AX28*$C28</f>
        <v>0</v>
      </c>
      <c r="AY28" s="23" t="n">
        <f aca="false">'Qté 2027'!AY28*$C28</f>
        <v>5.3748</v>
      </c>
      <c r="AZ28" s="23" t="n">
        <f aca="false">'Qté 2027'!AZ28*$C28</f>
        <v>10.3017</v>
      </c>
      <c r="BA28" s="23" t="n">
        <f aca="false">'Qté 2027'!BA28*$C28</f>
        <v>5.3748</v>
      </c>
      <c r="BB28" s="23" t="n">
        <f aca="false">'Qté 2027'!BB28*$C28</f>
        <v>0</v>
      </c>
      <c r="BC28" s="23" t="n">
        <f aca="false">'Qté 2027'!BC28*$C28</f>
        <v>0</v>
      </c>
      <c r="BD28" s="15" t="n">
        <f aca="false">SUM(D28:BC28)</f>
        <v>640.497</v>
      </c>
    </row>
    <row r="29" customFormat="false" ht="15" hidden="false" customHeight="false" outlineLevel="0" collapsed="false">
      <c r="A29" s="5" t="s">
        <v>204</v>
      </c>
      <c r="B29" s="5" t="s">
        <v>51</v>
      </c>
      <c r="C29" s="22" t="n">
        <v>69.73</v>
      </c>
      <c r="D29" s="23" t="n">
        <f aca="false">'Qté 2027'!D29*$C29</f>
        <v>4.1838</v>
      </c>
      <c r="E29" s="23" t="n">
        <f aca="false">'Qté 2027'!E29*$C29</f>
        <v>7.6703</v>
      </c>
      <c r="F29" s="23" t="n">
        <f aca="false">'Qté 2027'!F29*$C29</f>
        <v>4.1838</v>
      </c>
      <c r="G29" s="23" t="n">
        <f aca="false">'Qté 2027'!G29*$C29</f>
        <v>0</v>
      </c>
      <c r="H29" s="23" t="n">
        <f aca="false">'Qté 2027'!H29*$C29</f>
        <v>0</v>
      </c>
      <c r="I29" s="23" t="n">
        <f aca="false">'Qté 2027'!I29*$C29</f>
        <v>0</v>
      </c>
      <c r="J29" s="23" t="n">
        <f aca="false">'Qté 2027'!J29*$C29</f>
        <v>0</v>
      </c>
      <c r="K29" s="23" t="n">
        <f aca="false">'Qté 2027'!K29*$C29</f>
        <v>0</v>
      </c>
      <c r="L29" s="23" t="n">
        <f aca="false">'Qté 2027'!L29*$C29</f>
        <v>0</v>
      </c>
      <c r="M29" s="23" t="n">
        <f aca="false">'Qté 2027'!M29*$C29</f>
        <v>0</v>
      </c>
      <c r="N29" s="23" t="n">
        <f aca="false">'Qté 2027'!N29*$C29</f>
        <v>0</v>
      </c>
      <c r="O29" s="23" t="n">
        <f aca="false">'Qté 2027'!O29*$C29</f>
        <v>0</v>
      </c>
      <c r="P29" s="23" t="n">
        <f aca="false">'Qté 2027'!P29*$C29</f>
        <v>0</v>
      </c>
      <c r="Q29" s="23" t="n">
        <f aca="false">'Qté 2027'!Q29*$C29</f>
        <v>0</v>
      </c>
      <c r="R29" s="23" t="n">
        <f aca="false">'Qté 2027'!R29*$C29</f>
        <v>0</v>
      </c>
      <c r="S29" s="23" t="n">
        <f aca="false">'Qté 2027'!S29*$C29</f>
        <v>0</v>
      </c>
      <c r="T29" s="23" t="n">
        <f aca="false">'Qté 2027'!T29*$C29</f>
        <v>2.0919</v>
      </c>
      <c r="U29" s="23" t="n">
        <f aca="false">'Qté 2027'!U29*$C29</f>
        <v>4.8811</v>
      </c>
      <c r="V29" s="23" t="n">
        <f aca="false">'Qté 2027'!V29*$C29</f>
        <v>2.0919</v>
      </c>
      <c r="W29" s="23" t="n">
        <f aca="false">'Qté 2027'!W29*$C29</f>
        <v>0</v>
      </c>
      <c r="X29" s="23" t="n">
        <f aca="false">'Qté 2027'!X29*$C29</f>
        <v>0</v>
      </c>
      <c r="Y29" s="23" t="n">
        <f aca="false">'Qté 2027'!Y29*$C29</f>
        <v>0</v>
      </c>
      <c r="Z29" s="23" t="n">
        <f aca="false">'Qté 2027'!Z29*$C29</f>
        <v>0</v>
      </c>
      <c r="AA29" s="23" t="n">
        <f aca="false">'Qté 2027'!AA29*$C29</f>
        <v>0</v>
      </c>
      <c r="AB29" s="23" t="n">
        <f aca="false">'Qté 2027'!AB29*$C29</f>
        <v>0</v>
      </c>
      <c r="AC29" s="23" t="n">
        <f aca="false">'Qté 2027'!AC29*$C29</f>
        <v>3.4865</v>
      </c>
      <c r="AD29" s="23" t="n">
        <f aca="false">'Qté 2027'!AD29*$C29</f>
        <v>7.6703</v>
      </c>
      <c r="AE29" s="23" t="n">
        <f aca="false">'Qté 2027'!AE29*$C29</f>
        <v>11.1568</v>
      </c>
      <c r="AF29" s="23" t="n">
        <f aca="false">'Qté 2027'!AF29*$C29</f>
        <v>20.2217</v>
      </c>
      <c r="AG29" s="23" t="n">
        <f aca="false">'Qté 2027'!AG29*$C29</f>
        <v>29.9839</v>
      </c>
      <c r="AH29" s="23" t="n">
        <f aca="false">'Qté 2027'!AH29*$C29</f>
        <v>43.9299</v>
      </c>
      <c r="AI29" s="23" t="n">
        <f aca="false">'Qté 2027'!AI29*$C29</f>
        <v>48.811</v>
      </c>
      <c r="AJ29" s="23" t="n">
        <f aca="false">'Qté 2027'!AJ29*$C29</f>
        <v>24.4055</v>
      </c>
      <c r="AK29" s="23" t="n">
        <f aca="false">'Qté 2027'!AK29*$C29</f>
        <v>29.2866</v>
      </c>
      <c r="AL29" s="23" t="n">
        <f aca="false">'Qté 2027'!AL29*$C29</f>
        <v>78.7949</v>
      </c>
      <c r="AM29" s="23" t="n">
        <f aca="false">'Qté 2027'!AM29*$C29</f>
        <v>91.3463</v>
      </c>
      <c r="AN29" s="23" t="n">
        <f aca="false">'Qté 2027'!AN29*$C29</f>
        <v>54.3894</v>
      </c>
      <c r="AO29" s="23" t="n">
        <f aca="false">'Qté 2027'!AO29*$C29</f>
        <v>27.892</v>
      </c>
      <c r="AP29" s="23" t="n">
        <f aca="false">'Qté 2027'!AP29*$C29</f>
        <v>13.946</v>
      </c>
      <c r="AQ29" s="23" t="n">
        <f aca="false">'Qté 2027'!AQ29*$C29</f>
        <v>5.5784</v>
      </c>
      <c r="AR29" s="23" t="n">
        <f aca="false">'Qté 2027'!AR29*$C29</f>
        <v>9.0649</v>
      </c>
      <c r="AS29" s="23" t="n">
        <f aca="false">'Qté 2027'!AS29*$C29</f>
        <v>12.5514</v>
      </c>
      <c r="AT29" s="23" t="n">
        <f aca="false">'Qté 2027'!AT29*$C29</f>
        <v>15.3406</v>
      </c>
      <c r="AU29" s="23" t="n">
        <f aca="false">'Qté 2027'!AU29*$C29</f>
        <v>11.8541</v>
      </c>
      <c r="AV29" s="23" t="n">
        <f aca="false">'Qté 2027'!AV29*$C29</f>
        <v>3.4865</v>
      </c>
      <c r="AW29" s="23" t="n">
        <f aca="false">'Qté 2027'!AW29*$C29</f>
        <v>0</v>
      </c>
      <c r="AX29" s="23" t="n">
        <f aca="false">'Qté 2027'!AX29*$C29</f>
        <v>0</v>
      </c>
      <c r="AY29" s="23" t="n">
        <f aca="false">'Qté 2027'!AY29*$C29</f>
        <v>0</v>
      </c>
      <c r="AZ29" s="23" t="n">
        <f aca="false">'Qté 2027'!AZ29*$C29</f>
        <v>0</v>
      </c>
      <c r="BA29" s="23" t="n">
        <f aca="false">'Qté 2027'!BA29*$C29</f>
        <v>0</v>
      </c>
      <c r="BB29" s="23" t="n">
        <f aca="false">'Qté 2027'!BB29*$C29</f>
        <v>0</v>
      </c>
      <c r="BC29" s="23" t="n">
        <f aca="false">'Qté 2027'!BC29*$C29</f>
        <v>0</v>
      </c>
      <c r="BD29" s="15" t="n">
        <f aca="false">SUM(D29:BC29)</f>
        <v>568.2995</v>
      </c>
    </row>
    <row r="30" customFormat="false" ht="15" hidden="false" customHeight="false" outlineLevel="0" collapsed="false">
      <c r="A30" s="5" t="s">
        <v>205</v>
      </c>
      <c r="B30" s="5" t="s">
        <v>62</v>
      </c>
      <c r="C30" s="22" t="n">
        <v>40.06</v>
      </c>
      <c r="D30" s="23" t="n">
        <f aca="false">'Qté 2027'!D30*$C30</f>
        <v>0</v>
      </c>
      <c r="E30" s="23" t="n">
        <f aca="false">'Qté 2027'!E30*$C30</f>
        <v>0</v>
      </c>
      <c r="F30" s="23" t="n">
        <f aca="false">'Qté 2027'!F30*$C30</f>
        <v>0</v>
      </c>
      <c r="G30" s="23" t="n">
        <f aca="false">'Qté 2027'!G30*$C30</f>
        <v>0</v>
      </c>
      <c r="H30" s="23" t="n">
        <f aca="false">'Qté 2027'!H30*$C30</f>
        <v>0</v>
      </c>
      <c r="I30" s="23" t="n">
        <f aca="false">'Qté 2027'!I30*$C30</f>
        <v>0</v>
      </c>
      <c r="J30" s="23" t="n">
        <f aca="false">'Qté 2027'!J30*$C30</f>
        <v>0</v>
      </c>
      <c r="K30" s="23" t="n">
        <f aca="false">'Qté 2027'!K30*$C30</f>
        <v>0</v>
      </c>
      <c r="L30" s="23" t="n">
        <f aca="false">'Qté 2027'!L30*$C30</f>
        <v>2.4036</v>
      </c>
      <c r="M30" s="23" t="n">
        <f aca="false">'Qté 2027'!M30*$C30</f>
        <v>4.4066</v>
      </c>
      <c r="N30" s="23" t="n">
        <f aca="false">'Qté 2027'!N30*$C30</f>
        <v>6.009</v>
      </c>
      <c r="O30" s="23" t="n">
        <f aca="false">'Qté 2027'!O30*$C30</f>
        <v>7.2108</v>
      </c>
      <c r="P30" s="23" t="n">
        <f aca="false">'Qté 2027'!P30*$C30</f>
        <v>3.6054</v>
      </c>
      <c r="Q30" s="23" t="n">
        <f aca="false">'Qté 2027'!Q30*$C30</f>
        <v>4.006</v>
      </c>
      <c r="R30" s="23" t="n">
        <f aca="false">'Qté 2027'!R30*$C30</f>
        <v>11.2168</v>
      </c>
      <c r="S30" s="23" t="n">
        <f aca="false">'Qté 2027'!S30*$C30</f>
        <v>8.4126</v>
      </c>
      <c r="T30" s="23" t="n">
        <f aca="false">'Qté 2027'!T30*$C30</f>
        <v>7.2108</v>
      </c>
      <c r="U30" s="23" t="n">
        <f aca="false">'Qté 2027'!U30*$C30</f>
        <v>20.03</v>
      </c>
      <c r="V30" s="23" t="n">
        <f aca="false">'Qté 2027'!V30*$C30</f>
        <v>20.4306</v>
      </c>
      <c r="W30" s="23" t="n">
        <f aca="false">'Qté 2027'!W30*$C30</f>
        <v>6.4096</v>
      </c>
      <c r="X30" s="23" t="n">
        <f aca="false">'Qté 2027'!X30*$C30</f>
        <v>2.8042</v>
      </c>
      <c r="Y30" s="23" t="n">
        <f aca="false">'Qté 2027'!Y30*$C30</f>
        <v>6.8102</v>
      </c>
      <c r="Z30" s="23" t="n">
        <f aca="false">'Qté 2027'!Z30*$C30</f>
        <v>12.8192</v>
      </c>
      <c r="AA30" s="23" t="n">
        <f aca="false">'Qté 2027'!AA30*$C30</f>
        <v>22.033</v>
      </c>
      <c r="AB30" s="23" t="n">
        <f aca="false">'Qté 2027'!AB30*$C30</f>
        <v>20.8312</v>
      </c>
      <c r="AC30" s="23" t="n">
        <f aca="false">'Qté 2027'!AC30*$C30</f>
        <v>22.033</v>
      </c>
      <c r="AD30" s="23" t="n">
        <f aca="false">'Qté 2027'!AD30*$C30</f>
        <v>47.2708</v>
      </c>
      <c r="AE30" s="23" t="n">
        <f aca="false">'Qté 2027'!AE30*$C30</f>
        <v>53.6804</v>
      </c>
      <c r="AF30" s="23" t="n">
        <f aca="false">'Qté 2027'!AF30*$C30</f>
        <v>36.054</v>
      </c>
      <c r="AG30" s="23" t="n">
        <f aca="false">'Qté 2027'!AG30*$C30</f>
        <v>29.2438</v>
      </c>
      <c r="AH30" s="23" t="n">
        <f aca="false">'Qté 2027'!AH30*$C30</f>
        <v>22.033</v>
      </c>
      <c r="AI30" s="23" t="n">
        <f aca="false">'Qté 2027'!AI30*$C30</f>
        <v>11.2168</v>
      </c>
      <c r="AJ30" s="23" t="n">
        <f aca="false">'Qté 2027'!AJ30*$C30</f>
        <v>4.006</v>
      </c>
      <c r="AK30" s="23" t="n">
        <f aca="false">'Qté 2027'!AK30*$C30</f>
        <v>5.2078</v>
      </c>
      <c r="AL30" s="23" t="n">
        <f aca="false">'Qté 2027'!AL30*$C30</f>
        <v>31.2468</v>
      </c>
      <c r="AM30" s="23" t="n">
        <f aca="false">'Qté 2027'!AM30*$C30</f>
        <v>54.081</v>
      </c>
      <c r="AN30" s="23" t="n">
        <f aca="false">'Qté 2027'!AN30*$C30</f>
        <v>37.2558</v>
      </c>
      <c r="AO30" s="23" t="n">
        <f aca="false">'Qté 2027'!AO30*$C30</f>
        <v>13.2198</v>
      </c>
      <c r="AP30" s="23" t="n">
        <f aca="false">'Qté 2027'!AP30*$C30</f>
        <v>6.009</v>
      </c>
      <c r="AQ30" s="23" t="n">
        <f aca="false">'Qté 2027'!AQ30*$C30</f>
        <v>2.003</v>
      </c>
      <c r="AR30" s="23" t="n">
        <f aca="false">'Qté 2027'!AR30*$C30</f>
        <v>0</v>
      </c>
      <c r="AS30" s="23" t="n">
        <f aca="false">'Qté 2027'!AS30*$C30</f>
        <v>0</v>
      </c>
      <c r="AT30" s="23" t="n">
        <f aca="false">'Qté 2027'!AT30*$C30</f>
        <v>3.2048</v>
      </c>
      <c r="AU30" s="23" t="n">
        <f aca="false">'Qté 2027'!AU30*$C30</f>
        <v>6.8102</v>
      </c>
      <c r="AV30" s="23" t="n">
        <f aca="false">'Qté 2027'!AV30*$C30</f>
        <v>3.2048</v>
      </c>
      <c r="AW30" s="23" t="n">
        <f aca="false">'Qté 2027'!AW30*$C30</f>
        <v>0</v>
      </c>
      <c r="AX30" s="23" t="n">
        <f aca="false">'Qté 2027'!AX30*$C30</f>
        <v>0</v>
      </c>
      <c r="AY30" s="23" t="n">
        <f aca="false">'Qté 2027'!AY30*$C30</f>
        <v>0</v>
      </c>
      <c r="AZ30" s="23" t="n">
        <f aca="false">'Qté 2027'!AZ30*$C30</f>
        <v>0</v>
      </c>
      <c r="BA30" s="23" t="n">
        <f aca="false">'Qté 2027'!BA30*$C30</f>
        <v>0</v>
      </c>
      <c r="BB30" s="23" t="n">
        <f aca="false">'Qté 2027'!BB30*$C30</f>
        <v>0</v>
      </c>
      <c r="BC30" s="23" t="n">
        <f aca="false">'Qté 2027'!BC30*$C30</f>
        <v>0</v>
      </c>
      <c r="BD30" s="15" t="n">
        <f aca="false">SUM(D30:BC30)</f>
        <v>554.4304</v>
      </c>
    </row>
    <row r="31" customFormat="false" ht="15" hidden="false" customHeight="false" outlineLevel="0" collapsed="false">
      <c r="A31" s="5" t="s">
        <v>206</v>
      </c>
      <c r="B31" s="5" t="s">
        <v>69</v>
      </c>
      <c r="C31" s="22" t="n">
        <v>20.45</v>
      </c>
      <c r="D31" s="23" t="n">
        <f aca="false">'Qté 2027'!D31*$C31</f>
        <v>1.636</v>
      </c>
      <c r="E31" s="23" t="n">
        <f aca="false">'Qté 2027'!E31*$C31</f>
        <v>3.272</v>
      </c>
      <c r="F31" s="23" t="n">
        <f aca="false">'Qté 2027'!F31*$C31</f>
        <v>1.636</v>
      </c>
      <c r="G31" s="23" t="n">
        <f aca="false">'Qté 2027'!G31*$C31</f>
        <v>0</v>
      </c>
      <c r="H31" s="23" t="n">
        <f aca="false">'Qté 2027'!H31*$C31</f>
        <v>0</v>
      </c>
      <c r="I31" s="23" t="n">
        <f aca="false">'Qté 2027'!I31*$C31</f>
        <v>0</v>
      </c>
      <c r="J31" s="23" t="n">
        <f aca="false">'Qté 2027'!J31*$C31</f>
        <v>0</v>
      </c>
      <c r="K31" s="23" t="n">
        <f aca="false">'Qté 2027'!K31*$C31</f>
        <v>0</v>
      </c>
      <c r="L31" s="23" t="n">
        <f aca="false">'Qté 2027'!L31*$C31</f>
        <v>0</v>
      </c>
      <c r="M31" s="23" t="n">
        <f aca="false">'Qté 2027'!M31*$C31</f>
        <v>0</v>
      </c>
      <c r="N31" s="23" t="n">
        <f aca="false">'Qté 2027'!N31*$C31</f>
        <v>0</v>
      </c>
      <c r="O31" s="23" t="n">
        <f aca="false">'Qté 2027'!O31*$C31</f>
        <v>2.2495</v>
      </c>
      <c r="P31" s="23" t="n">
        <f aca="false">'Qté 2027'!P31*$C31</f>
        <v>4.7035</v>
      </c>
      <c r="Q31" s="23" t="n">
        <f aca="false">'Qté 2027'!Q31*$C31</f>
        <v>5.9305</v>
      </c>
      <c r="R31" s="23" t="n">
        <f aca="false">'Qté 2027'!R31*$C31</f>
        <v>12.4745</v>
      </c>
      <c r="S31" s="23" t="n">
        <f aca="false">'Qté 2027'!S31*$C31</f>
        <v>21.8815</v>
      </c>
      <c r="T31" s="23" t="n">
        <f aca="false">'Qté 2027'!T31*$C31</f>
        <v>21.8815</v>
      </c>
      <c r="U31" s="23" t="n">
        <f aca="false">'Qté 2027'!U31*$C31</f>
        <v>13.497</v>
      </c>
      <c r="V31" s="23" t="n">
        <f aca="false">'Qté 2027'!V31*$C31</f>
        <v>12.0655</v>
      </c>
      <c r="W31" s="23" t="n">
        <f aca="false">'Qté 2027'!W31*$C31</f>
        <v>15.7465</v>
      </c>
      <c r="X31" s="23" t="n">
        <f aca="false">'Qté 2027'!X31*$C31</f>
        <v>14.724</v>
      </c>
      <c r="Y31" s="23" t="n">
        <f aca="false">'Qté 2027'!Y31*$C31</f>
        <v>10.8385</v>
      </c>
      <c r="Z31" s="23" t="n">
        <f aca="false">'Qté 2027'!Z31*$C31</f>
        <v>11.043</v>
      </c>
      <c r="AA31" s="23" t="n">
        <f aca="false">'Qté 2027'!AA31*$C31</f>
        <v>17.996</v>
      </c>
      <c r="AB31" s="23" t="n">
        <f aca="false">'Qté 2027'!AB31*$C31</f>
        <v>28.63</v>
      </c>
      <c r="AC31" s="23" t="n">
        <f aca="false">'Qté 2027'!AC31*$C31</f>
        <v>38.446</v>
      </c>
      <c r="AD31" s="23" t="n">
        <f aca="false">'Qté 2027'!AD31*$C31</f>
        <v>44.7855</v>
      </c>
      <c r="AE31" s="23" t="n">
        <f aca="false">'Qté 2027'!AE31*$C31</f>
        <v>46.626</v>
      </c>
      <c r="AF31" s="23" t="n">
        <f aca="false">'Qté 2027'!AF31*$C31</f>
        <v>39.4685</v>
      </c>
      <c r="AG31" s="23" t="n">
        <f aca="false">'Qté 2027'!AG31*$C31</f>
        <v>28.8345</v>
      </c>
      <c r="AH31" s="23" t="n">
        <f aca="false">'Qté 2027'!AH31*$C31</f>
        <v>34.9695</v>
      </c>
      <c r="AI31" s="23" t="n">
        <f aca="false">'Qté 2027'!AI31*$C31</f>
        <v>43.763</v>
      </c>
      <c r="AJ31" s="23" t="n">
        <f aca="false">'Qté 2027'!AJ31*$C31</f>
        <v>25.1535</v>
      </c>
      <c r="AK31" s="23" t="n">
        <f aca="false">'Qté 2027'!AK31*$C31</f>
        <v>6.544</v>
      </c>
      <c r="AL31" s="23" t="n">
        <f aca="false">'Qté 2027'!AL31*$C31</f>
        <v>6.544</v>
      </c>
      <c r="AM31" s="23" t="n">
        <f aca="false">'Qté 2027'!AM31*$C31</f>
        <v>6.7485</v>
      </c>
      <c r="AN31" s="23" t="n">
        <f aca="false">'Qté 2027'!AN31*$C31</f>
        <v>5.5215</v>
      </c>
      <c r="AO31" s="23" t="n">
        <f aca="false">'Qté 2027'!AO31*$C31</f>
        <v>6.7485</v>
      </c>
      <c r="AP31" s="23" t="n">
        <f aca="false">'Qté 2027'!AP31*$C31</f>
        <v>6.544</v>
      </c>
      <c r="AQ31" s="23" t="n">
        <f aca="false">'Qté 2027'!AQ31*$C31</f>
        <v>2.454</v>
      </c>
      <c r="AR31" s="23" t="n">
        <f aca="false">'Qté 2027'!AR31*$C31</f>
        <v>0</v>
      </c>
      <c r="AS31" s="23" t="n">
        <f aca="false">'Qté 2027'!AS31*$C31</f>
        <v>0</v>
      </c>
      <c r="AT31" s="23" t="n">
        <f aca="false">'Qté 2027'!AT31*$C31</f>
        <v>0</v>
      </c>
      <c r="AU31" s="23" t="n">
        <f aca="false">'Qté 2027'!AU31*$C31</f>
        <v>0</v>
      </c>
      <c r="AV31" s="23" t="n">
        <f aca="false">'Qté 2027'!AV31*$C31</f>
        <v>0</v>
      </c>
      <c r="AW31" s="23" t="n">
        <f aca="false">'Qté 2027'!AW31*$C31</f>
        <v>0</v>
      </c>
      <c r="AX31" s="23" t="n">
        <f aca="false">'Qté 2027'!AX31*$C31</f>
        <v>0</v>
      </c>
      <c r="AY31" s="23" t="n">
        <f aca="false">'Qté 2027'!AY31*$C31</f>
        <v>0</v>
      </c>
      <c r="AZ31" s="23" t="n">
        <f aca="false">'Qté 2027'!AZ31*$C31</f>
        <v>0</v>
      </c>
      <c r="BA31" s="23" t="n">
        <f aca="false">'Qté 2027'!BA31*$C31</f>
        <v>0</v>
      </c>
      <c r="BB31" s="23" t="n">
        <f aca="false">'Qté 2027'!BB31*$C31</f>
        <v>0</v>
      </c>
      <c r="BC31" s="23" t="n">
        <f aca="false">'Qté 2027'!BC31*$C31</f>
        <v>0</v>
      </c>
      <c r="BD31" s="15" t="n">
        <f aca="false">SUM(D31:BC31)</f>
        <v>543.3565</v>
      </c>
    </row>
    <row r="32" customFormat="false" ht="15" hidden="false" customHeight="false" outlineLevel="0" collapsed="false">
      <c r="A32" s="5" t="s">
        <v>207</v>
      </c>
      <c r="B32" s="5" t="s">
        <v>62</v>
      </c>
      <c r="C32" s="22" t="n">
        <v>40.37</v>
      </c>
      <c r="D32" s="23" t="n">
        <f aca="false">'Qté 2027'!D32*$C32</f>
        <v>0</v>
      </c>
      <c r="E32" s="23" t="n">
        <f aca="false">'Qté 2027'!E32*$C32</f>
        <v>0</v>
      </c>
      <c r="F32" s="23" t="n">
        <f aca="false">'Qté 2027'!F32*$C32</f>
        <v>0</v>
      </c>
      <c r="G32" s="23" t="n">
        <f aca="false">'Qté 2027'!G32*$C32</f>
        <v>0</v>
      </c>
      <c r="H32" s="23" t="n">
        <f aca="false">'Qté 2027'!H32*$C32</f>
        <v>0</v>
      </c>
      <c r="I32" s="23" t="n">
        <f aca="false">'Qté 2027'!I32*$C32</f>
        <v>0</v>
      </c>
      <c r="J32" s="23" t="n">
        <f aca="false">'Qté 2027'!J32*$C32</f>
        <v>0</v>
      </c>
      <c r="K32" s="23" t="n">
        <f aca="false">'Qté 2027'!K32*$C32</f>
        <v>0</v>
      </c>
      <c r="L32" s="23" t="n">
        <f aca="false">'Qté 2027'!L32*$C32</f>
        <v>0</v>
      </c>
      <c r="M32" s="23" t="n">
        <f aca="false">'Qté 2027'!M32*$C32</f>
        <v>0</v>
      </c>
      <c r="N32" s="23" t="n">
        <f aca="false">'Qté 2027'!N32*$C32</f>
        <v>0</v>
      </c>
      <c r="O32" s="23" t="n">
        <f aca="false">'Qté 2027'!O32*$C32</f>
        <v>3.2296</v>
      </c>
      <c r="P32" s="23" t="n">
        <f aca="false">'Qté 2027'!P32*$C32</f>
        <v>9.6888</v>
      </c>
      <c r="Q32" s="23" t="n">
        <f aca="false">'Qté 2027'!Q32*$C32</f>
        <v>16.148</v>
      </c>
      <c r="R32" s="23" t="n">
        <f aca="false">'Qté 2027'!R32*$C32</f>
        <v>22.2035</v>
      </c>
      <c r="S32" s="23" t="n">
        <f aca="false">'Qté 2027'!S32*$C32</f>
        <v>16.148</v>
      </c>
      <c r="T32" s="23" t="n">
        <f aca="false">'Qté 2027'!T32*$C32</f>
        <v>2.0185</v>
      </c>
      <c r="U32" s="23" t="n">
        <f aca="false">'Qté 2027'!U32*$C32</f>
        <v>0.4037</v>
      </c>
      <c r="V32" s="23" t="n">
        <f aca="false">'Qté 2027'!V32*$C32</f>
        <v>2.8259</v>
      </c>
      <c r="W32" s="23" t="n">
        <f aca="false">'Qté 2027'!W32*$C32</f>
        <v>6.4592</v>
      </c>
      <c r="X32" s="23" t="n">
        <f aca="false">'Qté 2027'!X32*$C32</f>
        <v>24.6257</v>
      </c>
      <c r="Y32" s="23" t="n">
        <f aca="false">'Qté 2027'!Y32*$C32</f>
        <v>48.0403</v>
      </c>
      <c r="Z32" s="23" t="n">
        <f aca="false">'Qté 2027'!Z32*$C32</f>
        <v>52.481</v>
      </c>
      <c r="AA32" s="23" t="n">
        <f aca="false">'Qté 2027'!AA32*$C32</f>
        <v>46.0218</v>
      </c>
      <c r="AB32" s="23" t="n">
        <f aca="false">'Qté 2027'!AB32*$C32</f>
        <v>56.518</v>
      </c>
      <c r="AC32" s="23" t="n">
        <f aca="false">'Qté 2027'!AC32*$C32</f>
        <v>59.7476</v>
      </c>
      <c r="AD32" s="23" t="n">
        <f aca="false">'Qté 2027'!AD32*$C32</f>
        <v>46.8292</v>
      </c>
      <c r="AE32" s="23" t="n">
        <f aca="false">'Qté 2027'!AE32*$C32</f>
        <v>43.5996</v>
      </c>
      <c r="AF32" s="23" t="n">
        <f aca="false">'Qté 2027'!AF32*$C32</f>
        <v>32.6997</v>
      </c>
      <c r="AG32" s="23" t="n">
        <f aca="false">'Qté 2027'!AG32*$C32</f>
        <v>16.9554</v>
      </c>
      <c r="AH32" s="23" t="n">
        <f aca="false">'Qté 2027'!AH32*$C32</f>
        <v>6.0555</v>
      </c>
      <c r="AI32" s="23" t="n">
        <f aca="false">'Qté 2027'!AI32*$C32</f>
        <v>4.8444</v>
      </c>
      <c r="AJ32" s="23" t="n">
        <f aca="false">'Qté 2027'!AJ32*$C32</f>
        <v>9.2851</v>
      </c>
      <c r="AK32" s="23" t="n">
        <f aca="false">'Qté 2027'!AK32*$C32</f>
        <v>4.8444</v>
      </c>
      <c r="AL32" s="23" t="n">
        <f aca="false">'Qté 2027'!AL32*$C32</f>
        <v>0</v>
      </c>
      <c r="AM32" s="23" t="n">
        <f aca="false">'Qté 2027'!AM32*$C32</f>
        <v>0</v>
      </c>
      <c r="AN32" s="23" t="n">
        <f aca="false">'Qté 2027'!AN32*$C32</f>
        <v>0</v>
      </c>
      <c r="AO32" s="23" t="n">
        <f aca="false">'Qté 2027'!AO32*$C32</f>
        <v>0</v>
      </c>
      <c r="AP32" s="23" t="n">
        <f aca="false">'Qté 2027'!AP32*$C32</f>
        <v>0</v>
      </c>
      <c r="AQ32" s="23" t="n">
        <f aca="false">'Qté 2027'!AQ32*$C32</f>
        <v>0</v>
      </c>
      <c r="AR32" s="23" t="n">
        <f aca="false">'Qté 2027'!AR32*$C32</f>
        <v>0</v>
      </c>
      <c r="AS32" s="23" t="n">
        <f aca="false">'Qté 2027'!AS32*$C32</f>
        <v>0</v>
      </c>
      <c r="AT32" s="23" t="n">
        <f aca="false">'Qté 2027'!AT32*$C32</f>
        <v>0</v>
      </c>
      <c r="AU32" s="23" t="n">
        <f aca="false">'Qté 2027'!AU32*$C32</f>
        <v>0</v>
      </c>
      <c r="AV32" s="23" t="n">
        <f aca="false">'Qté 2027'!AV32*$C32</f>
        <v>0</v>
      </c>
      <c r="AW32" s="23" t="n">
        <f aca="false">'Qté 2027'!AW32*$C32</f>
        <v>0</v>
      </c>
      <c r="AX32" s="23" t="n">
        <f aca="false">'Qté 2027'!AX32*$C32</f>
        <v>0</v>
      </c>
      <c r="AY32" s="23" t="n">
        <f aca="false">'Qté 2027'!AY32*$C32</f>
        <v>0</v>
      </c>
      <c r="AZ32" s="23" t="n">
        <f aca="false">'Qté 2027'!AZ32*$C32</f>
        <v>0</v>
      </c>
      <c r="BA32" s="23" t="n">
        <f aca="false">'Qté 2027'!BA32*$C32</f>
        <v>0</v>
      </c>
      <c r="BB32" s="23" t="n">
        <f aca="false">'Qté 2027'!BB32*$C32</f>
        <v>0</v>
      </c>
      <c r="BC32" s="23" t="n">
        <f aca="false">'Qté 2027'!BC32*$C32</f>
        <v>0</v>
      </c>
      <c r="BD32" s="15" t="n">
        <f aca="false">SUM(D32:BC32)</f>
        <v>531.6729</v>
      </c>
    </row>
    <row r="33" customFormat="false" ht="15" hidden="false" customHeight="false" outlineLevel="0" collapsed="false">
      <c r="A33" s="5" t="s">
        <v>208</v>
      </c>
      <c r="B33" s="5" t="s">
        <v>62</v>
      </c>
      <c r="C33" s="22" t="n">
        <v>38.4</v>
      </c>
      <c r="D33" s="23" t="n">
        <f aca="false">'Qté 2027'!D33*$C33</f>
        <v>0</v>
      </c>
      <c r="E33" s="23" t="n">
        <f aca="false">'Qté 2027'!E33*$C33</f>
        <v>0</v>
      </c>
      <c r="F33" s="23" t="n">
        <f aca="false">'Qté 2027'!F33*$C33</f>
        <v>0</v>
      </c>
      <c r="G33" s="23" t="n">
        <f aca="false">'Qté 2027'!G33*$C33</f>
        <v>0</v>
      </c>
      <c r="H33" s="23" t="n">
        <f aca="false">'Qté 2027'!H33*$C33</f>
        <v>0</v>
      </c>
      <c r="I33" s="23" t="n">
        <f aca="false">'Qté 2027'!I33*$C33</f>
        <v>0</v>
      </c>
      <c r="J33" s="23" t="n">
        <f aca="false">'Qté 2027'!J33*$C33</f>
        <v>0</v>
      </c>
      <c r="K33" s="23" t="n">
        <f aca="false">'Qté 2027'!K33*$C33</f>
        <v>0</v>
      </c>
      <c r="L33" s="23" t="n">
        <f aca="false">'Qté 2027'!L33*$C33</f>
        <v>0</v>
      </c>
      <c r="M33" s="23" t="n">
        <f aca="false">'Qté 2027'!M33*$C33</f>
        <v>0</v>
      </c>
      <c r="N33" s="23" t="n">
        <f aca="false">'Qté 2027'!N33*$C33</f>
        <v>0</v>
      </c>
      <c r="O33" s="23" t="n">
        <f aca="false">'Qté 2027'!O33*$C33</f>
        <v>0</v>
      </c>
      <c r="P33" s="23" t="n">
        <f aca="false">'Qté 2027'!P33*$C33</f>
        <v>2.304</v>
      </c>
      <c r="Q33" s="23" t="n">
        <f aca="false">'Qté 2027'!Q33*$C33</f>
        <v>4.224</v>
      </c>
      <c r="R33" s="23" t="n">
        <f aca="false">'Qté 2027'!R33*$C33</f>
        <v>2.304</v>
      </c>
      <c r="S33" s="23" t="n">
        <f aca="false">'Qté 2027'!S33*$C33</f>
        <v>0</v>
      </c>
      <c r="T33" s="23" t="n">
        <f aca="false">'Qté 2027'!T33*$C33</f>
        <v>5.76</v>
      </c>
      <c r="U33" s="23" t="n">
        <f aca="false">'Qté 2027'!U33*$C33</f>
        <v>18.048</v>
      </c>
      <c r="V33" s="23" t="n">
        <f aca="false">'Qté 2027'!V33*$C33</f>
        <v>19.584</v>
      </c>
      <c r="W33" s="23" t="n">
        <f aca="false">'Qté 2027'!W33*$C33</f>
        <v>9.6</v>
      </c>
      <c r="X33" s="23" t="n">
        <f aca="false">'Qté 2027'!X33*$C33</f>
        <v>8.064</v>
      </c>
      <c r="Y33" s="23" t="n">
        <f aca="false">'Qté 2027'!Y33*$C33</f>
        <v>15.744</v>
      </c>
      <c r="Z33" s="23" t="n">
        <f aca="false">'Qté 2027'!Z33*$C33</f>
        <v>36.096</v>
      </c>
      <c r="AA33" s="23" t="n">
        <f aca="false">'Qté 2027'!AA33*$C33</f>
        <v>48.768</v>
      </c>
      <c r="AB33" s="23" t="n">
        <f aca="false">'Qté 2027'!AB33*$C33</f>
        <v>38.016</v>
      </c>
      <c r="AC33" s="23" t="n">
        <f aca="false">'Qté 2027'!AC33*$C33</f>
        <v>35.328</v>
      </c>
      <c r="AD33" s="23" t="n">
        <f aca="false">'Qté 2027'!AD33*$C33</f>
        <v>27.648</v>
      </c>
      <c r="AE33" s="23" t="n">
        <f aca="false">'Qté 2027'!AE33*$C33</f>
        <v>22.656</v>
      </c>
      <c r="AF33" s="23" t="n">
        <f aca="false">'Qté 2027'!AF33*$C33</f>
        <v>41.088</v>
      </c>
      <c r="AG33" s="23" t="n">
        <f aca="false">'Qté 2027'!AG33*$C33</f>
        <v>41.472</v>
      </c>
      <c r="AH33" s="23" t="n">
        <f aca="false">'Qté 2027'!AH33*$C33</f>
        <v>16.128</v>
      </c>
      <c r="AI33" s="23" t="n">
        <f aca="false">'Qté 2027'!AI33*$C33</f>
        <v>1.152</v>
      </c>
      <c r="AJ33" s="23" t="n">
        <f aca="false">'Qté 2027'!AJ33*$C33</f>
        <v>0</v>
      </c>
      <c r="AK33" s="23" t="n">
        <f aca="false">'Qté 2027'!AK33*$C33</f>
        <v>14.208</v>
      </c>
      <c r="AL33" s="23" t="n">
        <f aca="false">'Qté 2027'!AL33*$C33</f>
        <v>34.56</v>
      </c>
      <c r="AM33" s="23" t="n">
        <f aca="false">'Qté 2027'!AM33*$C33</f>
        <v>26.88</v>
      </c>
      <c r="AN33" s="23" t="n">
        <f aca="false">'Qté 2027'!AN33*$C33</f>
        <v>8.448</v>
      </c>
      <c r="AO33" s="23" t="n">
        <f aca="false">'Qté 2027'!AO33*$C33</f>
        <v>6.912</v>
      </c>
      <c r="AP33" s="23" t="n">
        <f aca="false">'Qté 2027'!AP33*$C33</f>
        <v>8.448</v>
      </c>
      <c r="AQ33" s="23" t="n">
        <f aca="false">'Qté 2027'!AQ33*$C33</f>
        <v>3.072</v>
      </c>
      <c r="AR33" s="23" t="n">
        <f aca="false">'Qté 2027'!AR33*$C33</f>
        <v>0</v>
      </c>
      <c r="AS33" s="23" t="n">
        <f aca="false">'Qté 2027'!AS33*$C33</f>
        <v>0</v>
      </c>
      <c r="AT33" s="23" t="n">
        <f aca="false">'Qté 2027'!AT33*$C33</f>
        <v>0</v>
      </c>
      <c r="AU33" s="23" t="n">
        <f aca="false">'Qté 2027'!AU33*$C33</f>
        <v>3.072</v>
      </c>
      <c r="AV33" s="23" t="n">
        <f aca="false">'Qté 2027'!AV33*$C33</f>
        <v>6.528</v>
      </c>
      <c r="AW33" s="23" t="n">
        <f aca="false">'Qté 2027'!AW33*$C33</f>
        <v>4.608</v>
      </c>
      <c r="AX33" s="23" t="n">
        <f aca="false">'Qté 2027'!AX33*$C33</f>
        <v>2.688</v>
      </c>
      <c r="AY33" s="23" t="n">
        <f aca="false">'Qté 2027'!AY33*$C33</f>
        <v>1.152</v>
      </c>
      <c r="AZ33" s="23" t="n">
        <f aca="false">'Qté 2027'!AZ33*$C33</f>
        <v>0</v>
      </c>
      <c r="BA33" s="23" t="n">
        <f aca="false">'Qté 2027'!BA33*$C33</f>
        <v>0</v>
      </c>
      <c r="BB33" s="23" t="n">
        <f aca="false">'Qté 2027'!BB33*$C33</f>
        <v>0</v>
      </c>
      <c r="BC33" s="23" t="n">
        <f aca="false">'Qté 2027'!BC33*$C33</f>
        <v>0</v>
      </c>
      <c r="BD33" s="15" t="n">
        <f aca="false">SUM(D33:BC33)</f>
        <v>514.56</v>
      </c>
    </row>
    <row r="34" customFormat="false" ht="15" hidden="false" customHeight="false" outlineLevel="0" collapsed="false">
      <c r="A34" s="5" t="s">
        <v>209</v>
      </c>
      <c r="B34" s="5" t="s">
        <v>57</v>
      </c>
      <c r="C34" s="22" t="n">
        <v>35.04</v>
      </c>
      <c r="D34" s="23" t="n">
        <f aca="false">'Qté 2027'!D34*$C34</f>
        <v>0</v>
      </c>
      <c r="E34" s="23" t="n">
        <f aca="false">'Qté 2027'!E34*$C34</f>
        <v>0</v>
      </c>
      <c r="F34" s="23" t="n">
        <f aca="false">'Qté 2027'!F34*$C34</f>
        <v>0</v>
      </c>
      <c r="G34" s="23" t="n">
        <f aca="false">'Qté 2027'!G34*$C34</f>
        <v>0</v>
      </c>
      <c r="H34" s="23" t="n">
        <f aca="false">'Qté 2027'!H34*$C34</f>
        <v>0</v>
      </c>
      <c r="I34" s="23" t="n">
        <f aca="false">'Qté 2027'!I34*$C34</f>
        <v>0</v>
      </c>
      <c r="J34" s="23" t="n">
        <f aca="false">'Qté 2027'!J34*$C34</f>
        <v>0</v>
      </c>
      <c r="K34" s="23" t="n">
        <f aca="false">'Qté 2027'!K34*$C34</f>
        <v>0</v>
      </c>
      <c r="L34" s="23" t="n">
        <f aca="false">'Qté 2027'!L34*$C34</f>
        <v>0</v>
      </c>
      <c r="M34" s="23" t="n">
        <f aca="false">'Qté 2027'!M34*$C34</f>
        <v>0</v>
      </c>
      <c r="N34" s="23" t="n">
        <f aca="false">'Qté 2027'!N34*$C34</f>
        <v>0</v>
      </c>
      <c r="O34" s="23" t="n">
        <f aca="false">'Qté 2027'!O34*$C34</f>
        <v>0</v>
      </c>
      <c r="P34" s="23" t="n">
        <f aca="false">'Qté 2027'!P34*$C34</f>
        <v>0</v>
      </c>
      <c r="Q34" s="23" t="n">
        <f aca="false">'Qté 2027'!Q34*$C34</f>
        <v>0</v>
      </c>
      <c r="R34" s="23" t="n">
        <f aca="false">'Qté 2027'!R34*$C34</f>
        <v>0.7008</v>
      </c>
      <c r="S34" s="23" t="n">
        <f aca="false">'Qté 2027'!S34*$C34</f>
        <v>1.752</v>
      </c>
      <c r="T34" s="23" t="n">
        <f aca="false">'Qté 2027'!T34*$C34</f>
        <v>3.1536</v>
      </c>
      <c r="U34" s="23" t="n">
        <f aca="false">'Qté 2027'!U34*$C34</f>
        <v>5.6064</v>
      </c>
      <c r="V34" s="23" t="n">
        <f aca="false">'Qté 2027'!V34*$C34</f>
        <v>22.0752</v>
      </c>
      <c r="W34" s="23" t="n">
        <f aca="false">'Qté 2027'!W34*$C34</f>
        <v>47.6544</v>
      </c>
      <c r="X34" s="23" t="n">
        <f aca="false">'Qté 2027'!X34*$C34</f>
        <v>59.2176</v>
      </c>
      <c r="Y34" s="23" t="n">
        <f aca="false">'Qté 2027'!Y34*$C34</f>
        <v>62.7216</v>
      </c>
      <c r="Z34" s="23" t="n">
        <f aca="false">'Qté 2027'!Z34*$C34</f>
        <v>48.3552</v>
      </c>
      <c r="AA34" s="23" t="n">
        <f aca="false">'Qté 2027'!AA34*$C34</f>
        <v>22.0752</v>
      </c>
      <c r="AB34" s="23" t="n">
        <f aca="false">'Qté 2027'!AB34*$C34</f>
        <v>27.3312</v>
      </c>
      <c r="AC34" s="23" t="n">
        <f aca="false">'Qté 2027'!AC34*$C34</f>
        <v>44.5008</v>
      </c>
      <c r="AD34" s="23" t="n">
        <f aca="false">'Qté 2027'!AD34*$C34</f>
        <v>23.4768</v>
      </c>
      <c r="AE34" s="23" t="n">
        <f aca="false">'Qté 2027'!AE34*$C34</f>
        <v>17.1696</v>
      </c>
      <c r="AF34" s="23" t="n">
        <f aca="false">'Qté 2027'!AF34*$C34</f>
        <v>36.792</v>
      </c>
      <c r="AG34" s="23" t="n">
        <f aca="false">'Qté 2027'!AG34*$C34</f>
        <v>29.0832</v>
      </c>
      <c r="AH34" s="23" t="n">
        <f aca="false">'Qté 2027'!AH34*$C34</f>
        <v>15.768</v>
      </c>
      <c r="AI34" s="23" t="n">
        <f aca="false">'Qté 2027'!AI34*$C34</f>
        <v>9.4608</v>
      </c>
      <c r="AJ34" s="23" t="n">
        <f aca="false">'Qté 2027'!AJ34*$C34</f>
        <v>2.4528</v>
      </c>
      <c r="AK34" s="23" t="n">
        <f aca="false">'Qté 2027'!AK34*$C34</f>
        <v>0</v>
      </c>
      <c r="AL34" s="23" t="n">
        <f aca="false">'Qté 2027'!AL34*$C34</f>
        <v>0</v>
      </c>
      <c r="AM34" s="23" t="n">
        <f aca="false">'Qté 2027'!AM34*$C34</f>
        <v>0</v>
      </c>
      <c r="AN34" s="23" t="n">
        <f aca="false">'Qté 2027'!AN34*$C34</f>
        <v>0</v>
      </c>
      <c r="AO34" s="23" t="n">
        <f aca="false">'Qté 2027'!AO34*$C34</f>
        <v>0</v>
      </c>
      <c r="AP34" s="23" t="n">
        <f aca="false">'Qté 2027'!AP34*$C34</f>
        <v>5.256</v>
      </c>
      <c r="AQ34" s="23" t="n">
        <f aca="false">'Qté 2027'!AQ34*$C34</f>
        <v>13.3152</v>
      </c>
      <c r="AR34" s="23" t="n">
        <f aca="false">'Qté 2027'!AR34*$C34</f>
        <v>11.2128</v>
      </c>
      <c r="AS34" s="23" t="n">
        <f aca="false">'Qté 2027'!AS34*$C34</f>
        <v>2.8032</v>
      </c>
      <c r="AT34" s="23" t="n">
        <f aca="false">'Qté 2027'!AT34*$C34</f>
        <v>0</v>
      </c>
      <c r="AU34" s="23" t="n">
        <f aca="false">'Qté 2027'!AU34*$C34</f>
        <v>0</v>
      </c>
      <c r="AV34" s="23" t="n">
        <f aca="false">'Qté 2027'!AV34*$C34</f>
        <v>0</v>
      </c>
      <c r="AW34" s="23" t="n">
        <f aca="false">'Qté 2027'!AW34*$C34</f>
        <v>0</v>
      </c>
      <c r="AX34" s="23" t="n">
        <f aca="false">'Qté 2027'!AX34*$C34</f>
        <v>0</v>
      </c>
      <c r="AY34" s="23" t="n">
        <f aca="false">'Qté 2027'!AY34*$C34</f>
        <v>0</v>
      </c>
      <c r="AZ34" s="23" t="n">
        <f aca="false">'Qté 2027'!AZ34*$C34</f>
        <v>0</v>
      </c>
      <c r="BA34" s="23" t="n">
        <f aca="false">'Qté 2027'!BA34*$C34</f>
        <v>0</v>
      </c>
      <c r="BB34" s="23" t="n">
        <f aca="false">'Qté 2027'!BB34*$C34</f>
        <v>0</v>
      </c>
      <c r="BC34" s="23" t="n">
        <f aca="false">'Qté 2027'!BC34*$C34</f>
        <v>0</v>
      </c>
      <c r="BD34" s="15" t="n">
        <f aca="false">SUM(D34:BC34)</f>
        <v>511.9344</v>
      </c>
    </row>
    <row r="35" customFormat="false" ht="15" hidden="false" customHeight="false" outlineLevel="0" collapsed="false">
      <c r="A35" s="5" t="s">
        <v>210</v>
      </c>
      <c r="B35" s="5" t="s">
        <v>45</v>
      </c>
      <c r="C35" s="22" t="n">
        <v>18.6</v>
      </c>
      <c r="D35" s="23" t="n">
        <f aca="false">'Qté 2027'!D35*$C35</f>
        <v>0</v>
      </c>
      <c r="E35" s="23" t="n">
        <f aca="false">'Qté 2027'!E35*$C35</f>
        <v>0</v>
      </c>
      <c r="F35" s="23" t="n">
        <f aca="false">'Qté 2027'!F35*$C35</f>
        <v>0</v>
      </c>
      <c r="G35" s="23" t="n">
        <f aca="false">'Qté 2027'!G35*$C35</f>
        <v>0</v>
      </c>
      <c r="H35" s="23" t="n">
        <f aca="false">'Qté 2027'!H35*$C35</f>
        <v>0</v>
      </c>
      <c r="I35" s="23" t="n">
        <f aca="false">'Qté 2027'!I35*$C35</f>
        <v>0</v>
      </c>
      <c r="J35" s="23" t="n">
        <f aca="false">'Qté 2027'!J35*$C35</f>
        <v>0</v>
      </c>
      <c r="K35" s="23" t="n">
        <f aca="false">'Qté 2027'!K35*$C35</f>
        <v>0</v>
      </c>
      <c r="L35" s="23" t="n">
        <f aca="false">'Qté 2027'!L35*$C35</f>
        <v>1.674</v>
      </c>
      <c r="M35" s="23" t="n">
        <f aca="false">'Qté 2027'!M35*$C35</f>
        <v>3.348</v>
      </c>
      <c r="N35" s="23" t="n">
        <f aca="false">'Qté 2027'!N35*$C35</f>
        <v>3.162</v>
      </c>
      <c r="O35" s="23" t="n">
        <f aca="false">'Qté 2027'!O35*$C35</f>
        <v>2.976</v>
      </c>
      <c r="P35" s="23" t="n">
        <f aca="false">'Qté 2027'!P35*$C35</f>
        <v>2.976</v>
      </c>
      <c r="Q35" s="23" t="n">
        <f aca="false">'Qté 2027'!Q35*$C35</f>
        <v>5.022</v>
      </c>
      <c r="R35" s="23" t="n">
        <f aca="false">'Qté 2027'!R35*$C35</f>
        <v>6.138</v>
      </c>
      <c r="S35" s="23" t="n">
        <f aca="false">'Qté 2027'!S35*$C35</f>
        <v>7.626</v>
      </c>
      <c r="T35" s="23" t="n">
        <f aca="false">'Qté 2027'!T35*$C35</f>
        <v>17.484</v>
      </c>
      <c r="U35" s="23" t="n">
        <f aca="false">'Qté 2027'!U35*$C35</f>
        <v>21.576</v>
      </c>
      <c r="V35" s="23" t="n">
        <f aca="false">'Qté 2027'!V35*$C35</f>
        <v>13.02</v>
      </c>
      <c r="W35" s="23" t="n">
        <f aca="false">'Qté 2027'!W35*$C35</f>
        <v>13.95</v>
      </c>
      <c r="X35" s="23" t="n">
        <f aca="false">'Qté 2027'!X35*$C35</f>
        <v>31.248</v>
      </c>
      <c r="Y35" s="23" t="n">
        <f aca="false">'Qté 2027'!Y35*$C35</f>
        <v>46.872</v>
      </c>
      <c r="Z35" s="23" t="n">
        <f aca="false">'Qté 2027'!Z35*$C35</f>
        <v>37.758</v>
      </c>
      <c r="AA35" s="23" t="n">
        <f aca="false">'Qté 2027'!AA35*$C35</f>
        <v>30.69</v>
      </c>
      <c r="AB35" s="23" t="n">
        <f aca="false">'Qté 2027'!AB35*$C35</f>
        <v>38.502</v>
      </c>
      <c r="AC35" s="23" t="n">
        <f aca="false">'Qté 2027'!AC35*$C35</f>
        <v>26.598</v>
      </c>
      <c r="AD35" s="23" t="n">
        <f aca="false">'Qté 2027'!AD35*$C35</f>
        <v>15.252</v>
      </c>
      <c r="AE35" s="23" t="n">
        <f aca="false">'Qté 2027'!AE35*$C35</f>
        <v>21.018</v>
      </c>
      <c r="AF35" s="23" t="n">
        <f aca="false">'Qté 2027'!AF35*$C35</f>
        <v>22.878</v>
      </c>
      <c r="AG35" s="23" t="n">
        <f aca="false">'Qté 2027'!AG35*$C35</f>
        <v>17.298</v>
      </c>
      <c r="AH35" s="23" t="n">
        <f aca="false">'Qté 2027'!AH35*$C35</f>
        <v>15.438</v>
      </c>
      <c r="AI35" s="23" t="n">
        <f aca="false">'Qté 2027'!AI35*$C35</f>
        <v>13.578</v>
      </c>
      <c r="AJ35" s="23" t="n">
        <f aca="false">'Qté 2027'!AJ35*$C35</f>
        <v>6.51</v>
      </c>
      <c r="AK35" s="23" t="n">
        <f aca="false">'Qté 2027'!AK35*$C35</f>
        <v>4.092</v>
      </c>
      <c r="AL35" s="23" t="n">
        <f aca="false">'Qté 2027'!AL35*$C35</f>
        <v>8.742</v>
      </c>
      <c r="AM35" s="23" t="n">
        <f aca="false">'Qté 2027'!AM35*$C35</f>
        <v>9.858</v>
      </c>
      <c r="AN35" s="23" t="n">
        <f aca="false">'Qté 2027'!AN35*$C35</f>
        <v>5.208</v>
      </c>
      <c r="AO35" s="23" t="n">
        <f aca="false">'Qté 2027'!AO35*$C35</f>
        <v>3.162</v>
      </c>
      <c r="AP35" s="23" t="n">
        <f aca="false">'Qté 2027'!AP35*$C35</f>
        <v>2.232</v>
      </c>
      <c r="AQ35" s="23" t="n">
        <f aca="false">'Qté 2027'!AQ35*$C35</f>
        <v>1.302</v>
      </c>
      <c r="AR35" s="23" t="n">
        <f aca="false">'Qté 2027'!AR35*$C35</f>
        <v>4.278</v>
      </c>
      <c r="AS35" s="23" t="n">
        <f aca="false">'Qté 2027'!AS35*$C35</f>
        <v>7.44</v>
      </c>
      <c r="AT35" s="23" t="n">
        <f aca="false">'Qté 2027'!AT35*$C35</f>
        <v>3.72</v>
      </c>
      <c r="AU35" s="23" t="n">
        <f aca="false">'Qté 2027'!AU35*$C35</f>
        <v>0</v>
      </c>
      <c r="AV35" s="23" t="n">
        <f aca="false">'Qté 2027'!AV35*$C35</f>
        <v>0</v>
      </c>
      <c r="AW35" s="23" t="n">
        <f aca="false">'Qté 2027'!AW35*$C35</f>
        <v>0</v>
      </c>
      <c r="AX35" s="23" t="n">
        <f aca="false">'Qté 2027'!AX35*$C35</f>
        <v>0</v>
      </c>
      <c r="AY35" s="23" t="n">
        <f aca="false">'Qté 2027'!AY35*$C35</f>
        <v>0</v>
      </c>
      <c r="AZ35" s="23" t="n">
        <f aca="false">'Qté 2027'!AZ35*$C35</f>
        <v>0</v>
      </c>
      <c r="BA35" s="23" t="n">
        <f aca="false">'Qté 2027'!BA35*$C35</f>
        <v>0</v>
      </c>
      <c r="BB35" s="23" t="n">
        <f aca="false">'Qté 2027'!BB35*$C35</f>
        <v>0</v>
      </c>
      <c r="BC35" s="23" t="n">
        <f aca="false">'Qté 2027'!BC35*$C35</f>
        <v>0</v>
      </c>
      <c r="BD35" s="15" t="n">
        <f aca="false">SUM(D35:BC35)</f>
        <v>472.626</v>
      </c>
    </row>
    <row r="36" customFormat="false" ht="15" hidden="false" customHeight="false" outlineLevel="0" collapsed="false">
      <c r="A36" s="5" t="s">
        <v>211</v>
      </c>
      <c r="B36" s="5" t="s">
        <v>62</v>
      </c>
      <c r="C36" s="22" t="n">
        <v>31.15</v>
      </c>
      <c r="D36" s="23" t="n">
        <f aca="false">'Qté 2027'!D36*$C36</f>
        <v>0</v>
      </c>
      <c r="E36" s="23" t="n">
        <f aca="false">'Qté 2027'!E36*$C36</f>
        <v>0</v>
      </c>
      <c r="F36" s="23" t="n">
        <f aca="false">'Qté 2027'!F36*$C36</f>
        <v>0</v>
      </c>
      <c r="G36" s="23" t="n">
        <f aca="false">'Qté 2027'!G36*$C36</f>
        <v>0</v>
      </c>
      <c r="H36" s="23" t="n">
        <f aca="false">'Qté 2027'!H36*$C36</f>
        <v>0</v>
      </c>
      <c r="I36" s="23" t="n">
        <f aca="false">'Qté 2027'!I36*$C36</f>
        <v>0</v>
      </c>
      <c r="J36" s="23" t="n">
        <f aca="false">'Qté 2027'!J36*$C36</f>
        <v>0</v>
      </c>
      <c r="K36" s="23" t="n">
        <f aca="false">'Qté 2027'!K36*$C36</f>
        <v>0</v>
      </c>
      <c r="L36" s="23" t="n">
        <f aca="false">'Qté 2027'!L36*$C36</f>
        <v>0</v>
      </c>
      <c r="M36" s="23" t="n">
        <f aca="false">'Qté 2027'!M36*$C36</f>
        <v>0</v>
      </c>
      <c r="N36" s="23" t="n">
        <f aca="false">'Qté 2027'!N36*$C36</f>
        <v>0</v>
      </c>
      <c r="O36" s="23" t="n">
        <f aca="false">'Qté 2027'!O36*$C36</f>
        <v>0</v>
      </c>
      <c r="P36" s="23" t="n">
        <f aca="false">'Qté 2027'!P36*$C36</f>
        <v>0</v>
      </c>
      <c r="Q36" s="23" t="n">
        <f aca="false">'Qté 2027'!Q36*$C36</f>
        <v>0</v>
      </c>
      <c r="R36" s="23" t="n">
        <f aca="false">'Qté 2027'!R36*$C36</f>
        <v>5.2955</v>
      </c>
      <c r="S36" s="23" t="n">
        <f aca="false">'Qté 2027'!S36*$C36</f>
        <v>14.6405</v>
      </c>
      <c r="T36" s="23" t="n">
        <f aca="false">'Qté 2027'!T36*$C36</f>
        <v>13.706</v>
      </c>
      <c r="U36" s="23" t="n">
        <f aca="false">'Qté 2027'!U36*$C36</f>
        <v>4.361</v>
      </c>
      <c r="V36" s="23" t="n">
        <f aca="false">'Qté 2027'!V36*$C36</f>
        <v>0</v>
      </c>
      <c r="W36" s="23" t="n">
        <f aca="false">'Qté 2027'!W36*$C36</f>
        <v>2.492</v>
      </c>
      <c r="X36" s="23" t="n">
        <f aca="false">'Qté 2027'!X36*$C36</f>
        <v>12.46</v>
      </c>
      <c r="Y36" s="23" t="n">
        <f aca="false">'Qté 2027'!Y36*$C36</f>
        <v>22.428</v>
      </c>
      <c r="Z36" s="23" t="n">
        <f aca="false">'Qté 2027'!Z36*$C36</f>
        <v>29.904</v>
      </c>
      <c r="AA36" s="23" t="n">
        <f aca="false">'Qté 2027'!AA36*$C36</f>
        <v>29.281</v>
      </c>
      <c r="AB36" s="23" t="n">
        <f aca="false">'Qté 2027'!AB36*$C36</f>
        <v>23.3625</v>
      </c>
      <c r="AC36" s="23" t="n">
        <f aca="false">'Qté 2027'!AC36*$C36</f>
        <v>26.4775</v>
      </c>
      <c r="AD36" s="23" t="n">
        <f aca="false">'Qté 2027'!AD36*$C36</f>
        <v>29.5925</v>
      </c>
      <c r="AE36" s="23" t="n">
        <f aca="false">'Qté 2027'!AE36*$C36</f>
        <v>38.3145</v>
      </c>
      <c r="AF36" s="23" t="n">
        <f aca="false">'Qté 2027'!AF36*$C36</f>
        <v>48.2825</v>
      </c>
      <c r="AG36" s="23" t="n">
        <f aca="false">'Qté 2027'!AG36*$C36</f>
        <v>35.1995</v>
      </c>
      <c r="AH36" s="23" t="n">
        <f aca="false">'Qté 2027'!AH36*$C36</f>
        <v>24.297</v>
      </c>
      <c r="AI36" s="23" t="n">
        <f aca="false">'Qté 2027'!AI36*$C36</f>
        <v>34.265</v>
      </c>
      <c r="AJ36" s="23" t="n">
        <f aca="false">'Qté 2027'!AJ36*$C36</f>
        <v>28.035</v>
      </c>
      <c r="AK36" s="23" t="n">
        <f aca="false">'Qté 2027'!AK36*$C36</f>
        <v>8.722</v>
      </c>
      <c r="AL36" s="23" t="n">
        <f aca="false">'Qté 2027'!AL36*$C36</f>
        <v>3.115</v>
      </c>
      <c r="AM36" s="23" t="n">
        <f aca="false">'Qté 2027'!AM36*$C36</f>
        <v>1.5575</v>
      </c>
      <c r="AN36" s="23" t="n">
        <f aca="false">'Qté 2027'!AN36*$C36</f>
        <v>0</v>
      </c>
      <c r="AO36" s="23" t="n">
        <f aca="false">'Qté 2027'!AO36*$C36</f>
        <v>0</v>
      </c>
      <c r="AP36" s="23" t="n">
        <f aca="false">'Qté 2027'!AP36*$C36</f>
        <v>0</v>
      </c>
      <c r="AQ36" s="23" t="n">
        <f aca="false">'Qté 2027'!AQ36*$C36</f>
        <v>0</v>
      </c>
      <c r="AR36" s="23" t="n">
        <f aca="false">'Qté 2027'!AR36*$C36</f>
        <v>0</v>
      </c>
      <c r="AS36" s="23" t="n">
        <f aca="false">'Qté 2027'!AS36*$C36</f>
        <v>0</v>
      </c>
      <c r="AT36" s="23" t="n">
        <f aca="false">'Qté 2027'!AT36*$C36</f>
        <v>0</v>
      </c>
      <c r="AU36" s="23" t="n">
        <f aca="false">'Qté 2027'!AU36*$C36</f>
        <v>0</v>
      </c>
      <c r="AV36" s="23" t="n">
        <f aca="false">'Qté 2027'!AV36*$C36</f>
        <v>0</v>
      </c>
      <c r="AW36" s="23" t="n">
        <f aca="false">'Qté 2027'!AW36*$C36</f>
        <v>0</v>
      </c>
      <c r="AX36" s="23" t="n">
        <f aca="false">'Qté 2027'!AX36*$C36</f>
        <v>0</v>
      </c>
      <c r="AY36" s="23" t="n">
        <f aca="false">'Qté 2027'!AY36*$C36</f>
        <v>0</v>
      </c>
      <c r="AZ36" s="23" t="n">
        <f aca="false">'Qté 2027'!AZ36*$C36</f>
        <v>0</v>
      </c>
      <c r="BA36" s="23" t="n">
        <f aca="false">'Qté 2027'!BA36*$C36</f>
        <v>0</v>
      </c>
      <c r="BB36" s="23" t="n">
        <f aca="false">'Qté 2027'!BB36*$C36</f>
        <v>0</v>
      </c>
      <c r="BC36" s="23" t="n">
        <f aca="false">'Qté 2027'!BC36*$C36</f>
        <v>0</v>
      </c>
      <c r="BD36" s="15" t="n">
        <f aca="false">SUM(D36:BC36)</f>
        <v>435.7885</v>
      </c>
    </row>
    <row r="37" customFormat="false" ht="15" hidden="false" customHeight="false" outlineLevel="0" collapsed="false">
      <c r="A37" s="5" t="s">
        <v>212</v>
      </c>
      <c r="B37" s="5" t="s">
        <v>60</v>
      </c>
      <c r="C37" s="22" t="n">
        <v>19.08</v>
      </c>
      <c r="D37" s="23" t="n">
        <f aca="false">'Qté 2027'!D37*$C37</f>
        <v>0</v>
      </c>
      <c r="E37" s="23" t="n">
        <f aca="false">'Qté 2027'!E37*$C37</f>
        <v>0</v>
      </c>
      <c r="F37" s="23" t="n">
        <f aca="false">'Qté 2027'!F37*$C37</f>
        <v>0</v>
      </c>
      <c r="G37" s="23" t="n">
        <f aca="false">'Qté 2027'!G37*$C37</f>
        <v>0</v>
      </c>
      <c r="H37" s="23" t="n">
        <f aca="false">'Qté 2027'!H37*$C37</f>
        <v>0</v>
      </c>
      <c r="I37" s="23" t="n">
        <f aca="false">'Qté 2027'!I37*$C37</f>
        <v>0</v>
      </c>
      <c r="J37" s="23" t="n">
        <f aca="false">'Qté 2027'!J37*$C37</f>
        <v>0</v>
      </c>
      <c r="K37" s="23" t="n">
        <f aca="false">'Qté 2027'!K37*$C37</f>
        <v>0</v>
      </c>
      <c r="L37" s="23" t="n">
        <f aca="false">'Qté 2027'!L37*$C37</f>
        <v>0</v>
      </c>
      <c r="M37" s="23" t="n">
        <f aca="false">'Qté 2027'!M37*$C37</f>
        <v>0</v>
      </c>
      <c r="N37" s="23" t="n">
        <f aca="false">'Qté 2027'!N37*$C37</f>
        <v>0</v>
      </c>
      <c r="O37" s="23" t="n">
        <f aca="false">'Qté 2027'!O37*$C37</f>
        <v>0</v>
      </c>
      <c r="P37" s="23" t="n">
        <f aca="false">'Qté 2027'!P37*$C37</f>
        <v>1.5264</v>
      </c>
      <c r="Q37" s="23" t="n">
        <f aca="false">'Qté 2027'!Q37*$C37</f>
        <v>5.5332</v>
      </c>
      <c r="R37" s="23" t="n">
        <f aca="false">'Qté 2027'!R37*$C37</f>
        <v>8.2044</v>
      </c>
      <c r="S37" s="23" t="n">
        <f aca="false">'Qté 2027'!S37*$C37</f>
        <v>7.0596</v>
      </c>
      <c r="T37" s="23" t="n">
        <f aca="false">'Qté 2027'!T37*$C37</f>
        <v>8.9676</v>
      </c>
      <c r="U37" s="23" t="n">
        <f aca="false">'Qté 2027'!U37*$C37</f>
        <v>16.5996</v>
      </c>
      <c r="V37" s="23" t="n">
        <f aca="false">'Qté 2027'!V37*$C37</f>
        <v>19.2708</v>
      </c>
      <c r="W37" s="23" t="n">
        <f aca="false">'Qté 2027'!W37*$C37</f>
        <v>14.31</v>
      </c>
      <c r="X37" s="23" t="n">
        <f aca="false">'Qté 2027'!X37*$C37</f>
        <v>11.6388</v>
      </c>
      <c r="Y37" s="23" t="n">
        <f aca="false">'Qté 2027'!Y37*$C37</f>
        <v>10.494</v>
      </c>
      <c r="Z37" s="23" t="n">
        <f aca="false">'Qté 2027'!Z37*$C37</f>
        <v>14.31</v>
      </c>
      <c r="AA37" s="23" t="n">
        <f aca="false">'Qté 2027'!AA37*$C37</f>
        <v>26.5212</v>
      </c>
      <c r="AB37" s="23" t="n">
        <f aca="false">'Qté 2027'!AB37*$C37</f>
        <v>33.1992</v>
      </c>
      <c r="AC37" s="23" t="n">
        <f aca="false">'Qté 2027'!AC37*$C37</f>
        <v>31.6728</v>
      </c>
      <c r="AD37" s="23" t="n">
        <f aca="false">'Qté 2027'!AD37*$C37</f>
        <v>26.5212</v>
      </c>
      <c r="AE37" s="23" t="n">
        <f aca="false">'Qté 2027'!AE37*$C37</f>
        <v>24.6132</v>
      </c>
      <c r="AF37" s="23" t="n">
        <f aca="false">'Qté 2027'!AF37*$C37</f>
        <v>26.5212</v>
      </c>
      <c r="AG37" s="23" t="n">
        <f aca="false">'Qté 2027'!AG37*$C37</f>
        <v>22.896</v>
      </c>
      <c r="AH37" s="23" t="n">
        <f aca="false">'Qté 2027'!AH37*$C37</f>
        <v>24.4224</v>
      </c>
      <c r="AI37" s="23" t="n">
        <f aca="false">'Qté 2027'!AI37*$C37</f>
        <v>26.3304</v>
      </c>
      <c r="AJ37" s="23" t="n">
        <f aca="false">'Qté 2027'!AJ37*$C37</f>
        <v>15.4548</v>
      </c>
      <c r="AK37" s="23" t="n">
        <f aca="false">'Qté 2027'!AK37*$C37</f>
        <v>3.816</v>
      </c>
      <c r="AL37" s="23" t="n">
        <f aca="false">'Qté 2027'!AL37*$C37</f>
        <v>3.2436</v>
      </c>
      <c r="AM37" s="23" t="n">
        <f aca="false">'Qté 2027'!AM37*$C37</f>
        <v>6.2964</v>
      </c>
      <c r="AN37" s="23" t="n">
        <f aca="false">'Qté 2027'!AN37*$C37</f>
        <v>3.2436</v>
      </c>
      <c r="AO37" s="23" t="n">
        <f aca="false">'Qté 2027'!AO37*$C37</f>
        <v>0</v>
      </c>
      <c r="AP37" s="23" t="n">
        <f aca="false">'Qté 2027'!AP37*$C37</f>
        <v>1.5264</v>
      </c>
      <c r="AQ37" s="23" t="n">
        <f aca="false">'Qté 2027'!AQ37*$C37</f>
        <v>4.77</v>
      </c>
      <c r="AR37" s="23" t="n">
        <f aca="false">'Qté 2027'!AR37*$C37</f>
        <v>4.77</v>
      </c>
      <c r="AS37" s="23" t="n">
        <f aca="false">'Qté 2027'!AS37*$C37</f>
        <v>3.2436</v>
      </c>
      <c r="AT37" s="23" t="n">
        <f aca="false">'Qté 2027'!AT37*$C37</f>
        <v>3.2436</v>
      </c>
      <c r="AU37" s="23" t="n">
        <f aca="false">'Qté 2027'!AU37*$C37</f>
        <v>1.5264</v>
      </c>
      <c r="AV37" s="23" t="n">
        <f aca="false">'Qté 2027'!AV37*$C37</f>
        <v>1.5264</v>
      </c>
      <c r="AW37" s="23" t="n">
        <f aca="false">'Qté 2027'!AW37*$C37</f>
        <v>3.2436</v>
      </c>
      <c r="AX37" s="23" t="n">
        <f aca="false">'Qté 2027'!AX37*$C37</f>
        <v>1.5264</v>
      </c>
      <c r="AY37" s="23" t="n">
        <f aca="false">'Qté 2027'!AY37*$C37</f>
        <v>0</v>
      </c>
      <c r="AZ37" s="23" t="n">
        <f aca="false">'Qté 2027'!AZ37*$C37</f>
        <v>0</v>
      </c>
      <c r="BA37" s="23" t="n">
        <f aca="false">'Qté 2027'!BA37*$C37</f>
        <v>0</v>
      </c>
      <c r="BB37" s="23" t="n">
        <f aca="false">'Qté 2027'!BB37*$C37</f>
        <v>0</v>
      </c>
      <c r="BC37" s="23" t="n">
        <f aca="false">'Qté 2027'!BC37*$C37</f>
        <v>0</v>
      </c>
      <c r="BD37" s="15" t="n">
        <f aca="false">SUM(D37:BC37)</f>
        <v>418.0428</v>
      </c>
    </row>
    <row r="38" customFormat="false" ht="15" hidden="false" customHeight="false" outlineLevel="0" collapsed="false">
      <c r="A38" s="5" t="s">
        <v>213</v>
      </c>
      <c r="B38" s="5" t="s">
        <v>51</v>
      </c>
      <c r="C38" s="22" t="n">
        <v>33.6</v>
      </c>
      <c r="D38" s="23" t="n">
        <f aca="false">'Qté 2027'!D38*$C38</f>
        <v>0</v>
      </c>
      <c r="E38" s="23" t="n">
        <f aca="false">'Qté 2027'!E38*$C38</f>
        <v>0</v>
      </c>
      <c r="F38" s="23" t="n">
        <f aca="false">'Qté 2027'!F38*$C38</f>
        <v>0</v>
      </c>
      <c r="G38" s="23" t="n">
        <f aca="false">'Qté 2027'!G38*$C38</f>
        <v>0</v>
      </c>
      <c r="H38" s="23" t="n">
        <f aca="false">'Qté 2027'!H38*$C38</f>
        <v>0</v>
      </c>
      <c r="I38" s="23" t="n">
        <f aca="false">'Qté 2027'!I38*$C38</f>
        <v>2.016</v>
      </c>
      <c r="J38" s="23" t="n">
        <f aca="false">'Qté 2027'!J38*$C38</f>
        <v>3.696</v>
      </c>
      <c r="K38" s="23" t="n">
        <f aca="false">'Qté 2027'!K38*$C38</f>
        <v>2.016</v>
      </c>
      <c r="L38" s="23" t="n">
        <f aca="false">'Qté 2027'!L38*$C38</f>
        <v>0</v>
      </c>
      <c r="M38" s="23" t="n">
        <f aca="false">'Qté 2027'!M38*$C38</f>
        <v>0</v>
      </c>
      <c r="N38" s="23" t="n">
        <f aca="false">'Qté 2027'!N38*$C38</f>
        <v>0</v>
      </c>
      <c r="O38" s="23" t="n">
        <f aca="false">'Qté 2027'!O38*$C38</f>
        <v>0</v>
      </c>
      <c r="P38" s="23" t="n">
        <f aca="false">'Qté 2027'!P38*$C38</f>
        <v>0</v>
      </c>
      <c r="Q38" s="23" t="n">
        <f aca="false">'Qté 2027'!Q38*$C38</f>
        <v>0</v>
      </c>
      <c r="R38" s="23" t="n">
        <f aca="false">'Qté 2027'!R38*$C38</f>
        <v>8.064</v>
      </c>
      <c r="S38" s="23" t="n">
        <f aca="false">'Qté 2027'!S38*$C38</f>
        <v>17.136</v>
      </c>
      <c r="T38" s="23" t="n">
        <f aca="false">'Qté 2027'!T38*$C38</f>
        <v>10.416</v>
      </c>
      <c r="U38" s="23" t="n">
        <f aca="false">'Qté 2027'!U38*$C38</f>
        <v>5.712</v>
      </c>
      <c r="V38" s="23" t="n">
        <f aca="false">'Qté 2027'!V38*$C38</f>
        <v>10.416</v>
      </c>
      <c r="W38" s="23" t="n">
        <f aca="false">'Qté 2027'!W38*$C38</f>
        <v>13.776</v>
      </c>
      <c r="X38" s="23" t="n">
        <f aca="false">'Qté 2027'!X38*$C38</f>
        <v>18.48</v>
      </c>
      <c r="Y38" s="23" t="n">
        <f aca="false">'Qté 2027'!Y38*$C38</f>
        <v>16.8</v>
      </c>
      <c r="Z38" s="23" t="n">
        <f aca="false">'Qté 2027'!Z38*$C38</f>
        <v>12.768</v>
      </c>
      <c r="AA38" s="23" t="n">
        <f aca="false">'Qté 2027'!AA38*$C38</f>
        <v>15.456</v>
      </c>
      <c r="AB38" s="23" t="n">
        <f aca="false">'Qté 2027'!AB38*$C38</f>
        <v>18.144</v>
      </c>
      <c r="AC38" s="23" t="n">
        <f aca="false">'Qté 2027'!AC38*$C38</f>
        <v>21.168</v>
      </c>
      <c r="AD38" s="23" t="n">
        <f aca="false">'Qté 2027'!AD38*$C38</f>
        <v>23.184</v>
      </c>
      <c r="AE38" s="23" t="n">
        <f aca="false">'Qté 2027'!AE38*$C38</f>
        <v>21.84</v>
      </c>
      <c r="AF38" s="23" t="n">
        <f aca="false">'Qté 2027'!AF38*$C38</f>
        <v>18.816</v>
      </c>
      <c r="AG38" s="23" t="n">
        <f aca="false">'Qté 2027'!AG38*$C38</f>
        <v>12.432</v>
      </c>
      <c r="AH38" s="23" t="n">
        <f aca="false">'Qté 2027'!AH38*$C38</f>
        <v>12.432</v>
      </c>
      <c r="AI38" s="23" t="n">
        <f aca="false">'Qté 2027'!AI38*$C38</f>
        <v>15.792</v>
      </c>
      <c r="AJ38" s="23" t="n">
        <f aca="false">'Qté 2027'!AJ38*$C38</f>
        <v>7.392</v>
      </c>
      <c r="AK38" s="23" t="n">
        <f aca="false">'Qté 2027'!AK38*$C38</f>
        <v>5.04</v>
      </c>
      <c r="AL38" s="23" t="n">
        <f aca="false">'Qté 2027'!AL38*$C38</f>
        <v>17.472</v>
      </c>
      <c r="AM38" s="23" t="n">
        <f aca="false">'Qté 2027'!AM38*$C38</f>
        <v>21.168</v>
      </c>
      <c r="AN38" s="23" t="n">
        <f aca="false">'Qté 2027'!AN38*$C38</f>
        <v>15.792</v>
      </c>
      <c r="AO38" s="23" t="n">
        <f aca="false">'Qté 2027'!AO38*$C38</f>
        <v>13.44</v>
      </c>
      <c r="AP38" s="23" t="n">
        <f aca="false">'Qté 2027'!AP38*$C38</f>
        <v>12.432</v>
      </c>
      <c r="AQ38" s="23" t="n">
        <f aca="false">'Qté 2027'!AQ38*$C38</f>
        <v>9.408</v>
      </c>
      <c r="AR38" s="23" t="n">
        <f aca="false">'Qté 2027'!AR38*$C38</f>
        <v>4.032</v>
      </c>
      <c r="AS38" s="23" t="n">
        <f aca="false">'Qté 2027'!AS38*$C38</f>
        <v>0</v>
      </c>
      <c r="AT38" s="23" t="n">
        <f aca="false">'Qté 2027'!AT38*$C38</f>
        <v>0</v>
      </c>
      <c r="AU38" s="23" t="n">
        <f aca="false">'Qté 2027'!AU38*$C38</f>
        <v>0</v>
      </c>
      <c r="AV38" s="23" t="n">
        <f aca="false">'Qté 2027'!AV38*$C38</f>
        <v>0</v>
      </c>
      <c r="AW38" s="23" t="n">
        <f aca="false">'Qté 2027'!AW38*$C38</f>
        <v>0</v>
      </c>
      <c r="AX38" s="23" t="n">
        <f aca="false">'Qté 2027'!AX38*$C38</f>
        <v>0</v>
      </c>
      <c r="AY38" s="23" t="n">
        <f aca="false">'Qté 2027'!AY38*$C38</f>
        <v>0</v>
      </c>
      <c r="AZ38" s="23" t="n">
        <f aca="false">'Qté 2027'!AZ38*$C38</f>
        <v>3.36</v>
      </c>
      <c r="BA38" s="23" t="n">
        <f aca="false">'Qté 2027'!BA38*$C38</f>
        <v>6.72</v>
      </c>
      <c r="BB38" s="23" t="n">
        <f aca="false">'Qté 2027'!BB38*$C38</f>
        <v>3.36</v>
      </c>
      <c r="BC38" s="23" t="n">
        <f aca="false">'Qté 2027'!BC38*$C38</f>
        <v>0</v>
      </c>
      <c r="BD38" s="15" t="n">
        <f aca="false">SUM(D38:BC38)</f>
        <v>400.176</v>
      </c>
    </row>
    <row r="39" customFormat="false" ht="15" hidden="false" customHeight="false" outlineLevel="0" collapsed="false">
      <c r="A39" s="5" t="s">
        <v>214</v>
      </c>
      <c r="B39" s="5" t="s">
        <v>69</v>
      </c>
      <c r="C39" s="22" t="n">
        <v>36.14</v>
      </c>
      <c r="D39" s="23" t="n">
        <f aca="false">'Qté 2027'!D39*$C39</f>
        <v>0</v>
      </c>
      <c r="E39" s="23" t="n">
        <f aca="false">'Qté 2027'!E39*$C39</f>
        <v>0</v>
      </c>
      <c r="F39" s="23" t="n">
        <f aca="false">'Qté 2027'!F39*$C39</f>
        <v>0</v>
      </c>
      <c r="G39" s="23" t="n">
        <f aca="false">'Qté 2027'!G39*$C39</f>
        <v>0</v>
      </c>
      <c r="H39" s="23" t="n">
        <f aca="false">'Qté 2027'!H39*$C39</f>
        <v>0</v>
      </c>
      <c r="I39" s="23" t="n">
        <f aca="false">'Qté 2027'!I39*$C39</f>
        <v>2.8912</v>
      </c>
      <c r="J39" s="23" t="n">
        <f aca="false">'Qté 2027'!J39*$C39</f>
        <v>5.7824</v>
      </c>
      <c r="K39" s="23" t="n">
        <f aca="false">'Qté 2027'!K39*$C39</f>
        <v>2.8912</v>
      </c>
      <c r="L39" s="23" t="n">
        <f aca="false">'Qté 2027'!L39*$C39</f>
        <v>0</v>
      </c>
      <c r="M39" s="23" t="n">
        <f aca="false">'Qté 2027'!M39*$C39</f>
        <v>0</v>
      </c>
      <c r="N39" s="23" t="n">
        <f aca="false">'Qté 2027'!N39*$C39</f>
        <v>0</v>
      </c>
      <c r="O39" s="23" t="n">
        <f aca="false">'Qté 2027'!O39*$C39</f>
        <v>0</v>
      </c>
      <c r="P39" s="23" t="n">
        <f aca="false">'Qté 2027'!P39*$C39</f>
        <v>2.1684</v>
      </c>
      <c r="Q39" s="23" t="n">
        <f aca="false">'Qté 2027'!Q39*$C39</f>
        <v>6.8666</v>
      </c>
      <c r="R39" s="23" t="n">
        <f aca="false">'Qté 2027'!R39*$C39</f>
        <v>11.2034</v>
      </c>
      <c r="S39" s="23" t="n">
        <f aca="false">'Qté 2027'!S39*$C39</f>
        <v>14.8174</v>
      </c>
      <c r="T39" s="23" t="n">
        <f aca="false">'Qté 2027'!T39*$C39</f>
        <v>13.7332</v>
      </c>
      <c r="U39" s="23" t="n">
        <f aca="false">'Qté 2027'!U39*$C39</f>
        <v>9.7578</v>
      </c>
      <c r="V39" s="23" t="n">
        <f aca="false">'Qté 2027'!V39*$C39</f>
        <v>11.9262</v>
      </c>
      <c r="W39" s="23" t="n">
        <f aca="false">'Qté 2027'!W39*$C39</f>
        <v>10.1192</v>
      </c>
      <c r="X39" s="23" t="n">
        <f aca="false">'Qté 2027'!X39*$C39</f>
        <v>10.1192</v>
      </c>
      <c r="Y39" s="23" t="n">
        <f aca="false">'Qté 2027'!Y39*$C39</f>
        <v>15.5402</v>
      </c>
      <c r="Z39" s="23" t="n">
        <f aca="false">'Qté 2027'!Z39*$C39</f>
        <v>15.9016</v>
      </c>
      <c r="AA39" s="23" t="n">
        <f aca="false">'Qté 2027'!AA39*$C39</f>
        <v>23.1296</v>
      </c>
      <c r="AB39" s="23" t="n">
        <f aca="false">'Qté 2027'!AB39*$C39</f>
        <v>31.8032</v>
      </c>
      <c r="AC39" s="23" t="n">
        <f aca="false">'Qté 2027'!AC39*$C39</f>
        <v>29.2734</v>
      </c>
      <c r="AD39" s="23" t="n">
        <f aca="false">'Qté 2027'!AD39*$C39</f>
        <v>20.2384</v>
      </c>
      <c r="AE39" s="23" t="n">
        <f aca="false">'Qté 2027'!AE39*$C39</f>
        <v>14.8174</v>
      </c>
      <c r="AF39" s="23" t="n">
        <f aca="false">'Qté 2027'!AF39*$C39</f>
        <v>13.0104</v>
      </c>
      <c r="AG39" s="23" t="n">
        <f aca="false">'Qté 2027'!AG39*$C39</f>
        <v>12.649</v>
      </c>
      <c r="AH39" s="23" t="n">
        <f aca="false">'Qté 2027'!AH39*$C39</f>
        <v>16.263</v>
      </c>
      <c r="AI39" s="23" t="n">
        <f aca="false">'Qté 2027'!AI39*$C39</f>
        <v>15.1788</v>
      </c>
      <c r="AJ39" s="23" t="n">
        <f aca="false">'Qté 2027'!AJ39*$C39</f>
        <v>10.1192</v>
      </c>
      <c r="AK39" s="23" t="n">
        <f aca="false">'Qté 2027'!AK39*$C39</f>
        <v>7.228</v>
      </c>
      <c r="AL39" s="23" t="n">
        <f aca="false">'Qté 2027'!AL39*$C39</f>
        <v>6.1438</v>
      </c>
      <c r="AM39" s="23" t="n">
        <f aca="false">'Qté 2027'!AM39*$C39</f>
        <v>2.8912</v>
      </c>
      <c r="AN39" s="23" t="n">
        <f aca="false">'Qté 2027'!AN39*$C39</f>
        <v>4.3368</v>
      </c>
      <c r="AO39" s="23" t="n">
        <f aca="false">'Qté 2027'!AO39*$C39</f>
        <v>8.3122</v>
      </c>
      <c r="AP39" s="23" t="n">
        <f aca="false">'Qté 2027'!AP39*$C39</f>
        <v>4.3368</v>
      </c>
      <c r="AQ39" s="23" t="n">
        <f aca="false">'Qté 2027'!AQ39*$C39</f>
        <v>0</v>
      </c>
      <c r="AR39" s="23" t="n">
        <f aca="false">'Qté 2027'!AR39*$C39</f>
        <v>0</v>
      </c>
      <c r="AS39" s="23" t="n">
        <f aca="false">'Qté 2027'!AS39*$C39</f>
        <v>0</v>
      </c>
      <c r="AT39" s="23" t="n">
        <f aca="false">'Qté 2027'!AT39*$C39</f>
        <v>2.8912</v>
      </c>
      <c r="AU39" s="23" t="n">
        <f aca="false">'Qté 2027'!AU39*$C39</f>
        <v>6.1438</v>
      </c>
      <c r="AV39" s="23" t="n">
        <f aca="false">'Qté 2027'!AV39*$C39</f>
        <v>2.8912</v>
      </c>
      <c r="AW39" s="23" t="n">
        <f aca="false">'Qté 2027'!AW39*$C39</f>
        <v>0</v>
      </c>
      <c r="AX39" s="23" t="n">
        <f aca="false">'Qté 2027'!AX39*$C39</f>
        <v>0</v>
      </c>
      <c r="AY39" s="23" t="n">
        <f aca="false">'Qté 2027'!AY39*$C39</f>
        <v>0</v>
      </c>
      <c r="AZ39" s="23" t="n">
        <f aca="false">'Qté 2027'!AZ39*$C39</f>
        <v>0</v>
      </c>
      <c r="BA39" s="23" t="n">
        <f aca="false">'Qté 2027'!BA39*$C39</f>
        <v>0</v>
      </c>
      <c r="BB39" s="23" t="n">
        <f aca="false">'Qté 2027'!BB39*$C39</f>
        <v>0</v>
      </c>
      <c r="BC39" s="23" t="n">
        <f aca="false">'Qté 2027'!BC39*$C39</f>
        <v>0</v>
      </c>
      <c r="BD39" s="15" t="n">
        <f aca="false">SUM(D39:BC39)</f>
        <v>365.3754</v>
      </c>
    </row>
    <row r="40" customFormat="false" ht="15" hidden="false" customHeight="false" outlineLevel="0" collapsed="false">
      <c r="A40" s="5" t="s">
        <v>215</v>
      </c>
      <c r="B40" s="5" t="s">
        <v>66</v>
      </c>
      <c r="C40" s="22" t="n">
        <v>569.99</v>
      </c>
      <c r="D40" s="23" t="n">
        <f aca="false">'Qté 2027'!D40*$C40</f>
        <v>0</v>
      </c>
      <c r="E40" s="23" t="n">
        <f aca="false">'Qté 2027'!E40*$C40</f>
        <v>0</v>
      </c>
      <c r="F40" s="23" t="n">
        <f aca="false">'Qté 2027'!F40*$C40</f>
        <v>0</v>
      </c>
      <c r="G40" s="23" t="n">
        <f aca="false">'Qté 2027'!G40*$C40</f>
        <v>0</v>
      </c>
      <c r="H40" s="23" t="n">
        <f aca="false">'Qté 2027'!H40*$C40</f>
        <v>0</v>
      </c>
      <c r="I40" s="23" t="n">
        <f aca="false">'Qté 2027'!I40*$C40</f>
        <v>0</v>
      </c>
      <c r="J40" s="23" t="n">
        <f aca="false">'Qté 2027'!J40*$C40</f>
        <v>0</v>
      </c>
      <c r="K40" s="23" t="n">
        <f aca="false">'Qté 2027'!K40*$C40</f>
        <v>0</v>
      </c>
      <c r="L40" s="23" t="n">
        <f aca="false">'Qté 2027'!L40*$C40</f>
        <v>0</v>
      </c>
      <c r="M40" s="23" t="n">
        <f aca="false">'Qté 2027'!M40*$C40</f>
        <v>0</v>
      </c>
      <c r="N40" s="23" t="n">
        <f aca="false">'Qté 2027'!N40*$C40</f>
        <v>0</v>
      </c>
      <c r="O40" s="23" t="n">
        <f aca="false">'Qté 2027'!O40*$C40</f>
        <v>0</v>
      </c>
      <c r="P40" s="23" t="n">
        <f aca="false">'Qté 2027'!P40*$C40</f>
        <v>0</v>
      </c>
      <c r="Q40" s="23" t="n">
        <f aca="false">'Qté 2027'!Q40*$C40</f>
        <v>0</v>
      </c>
      <c r="R40" s="23" t="n">
        <f aca="false">'Qté 2027'!R40*$C40</f>
        <v>0</v>
      </c>
      <c r="S40" s="23" t="n">
        <f aca="false">'Qté 2027'!S40*$C40</f>
        <v>0</v>
      </c>
      <c r="T40" s="23" t="n">
        <f aca="false">'Qté 2027'!T40*$C40</f>
        <v>45.5992</v>
      </c>
      <c r="U40" s="23" t="n">
        <f aca="false">'Qté 2027'!U40*$C40</f>
        <v>45.5992</v>
      </c>
      <c r="V40" s="23" t="n">
        <f aca="false">'Qté 2027'!V40*$C40</f>
        <v>0</v>
      </c>
      <c r="W40" s="23" t="n">
        <f aca="false">'Qté 2027'!W40*$C40</f>
        <v>0</v>
      </c>
      <c r="X40" s="23" t="n">
        <f aca="false">'Qté 2027'!X40*$C40</f>
        <v>91.1984</v>
      </c>
      <c r="Y40" s="23" t="n">
        <f aca="false">'Qté 2027'!Y40*$C40</f>
        <v>182.3968</v>
      </c>
      <c r="Z40" s="23" t="n">
        <f aca="false">'Qté 2027'!Z40*$C40</f>
        <v>91.1984</v>
      </c>
      <c r="AA40" s="23" t="n">
        <f aca="false">'Qté 2027'!AA40*$C40</f>
        <v>0</v>
      </c>
      <c r="AB40" s="23" t="n">
        <f aca="false">'Qté 2027'!AB40*$C40</f>
        <v>0</v>
      </c>
      <c r="AC40" s="23" t="n">
        <f aca="false">'Qté 2027'!AC40*$C40</f>
        <v>0</v>
      </c>
      <c r="AD40" s="23" t="n">
        <f aca="false">'Qté 2027'!AD40*$C40</f>
        <v>0</v>
      </c>
      <c r="AE40" s="23" t="n">
        <f aca="false">'Qté 2027'!AE40*$C40</f>
        <v>0</v>
      </c>
      <c r="AF40" s="23" t="n">
        <f aca="false">'Qté 2027'!AF40*$C40</f>
        <v>0</v>
      </c>
      <c r="AG40" s="23" t="n">
        <f aca="false">'Qté 2027'!AG40*$C40</f>
        <v>0</v>
      </c>
      <c r="AH40" s="23" t="n">
        <f aca="false">'Qté 2027'!AH40*$C40</f>
        <v>0</v>
      </c>
      <c r="AI40" s="23" t="n">
        <f aca="false">'Qté 2027'!AI40*$C40</f>
        <v>0</v>
      </c>
      <c r="AJ40" s="23" t="n">
        <f aca="false">'Qté 2027'!AJ40*$C40</f>
        <v>0</v>
      </c>
      <c r="AK40" s="23" t="n">
        <f aca="false">'Qté 2027'!AK40*$C40</f>
        <v>0</v>
      </c>
      <c r="AL40" s="23" t="n">
        <f aca="false">'Qté 2027'!AL40*$C40</f>
        <v>0</v>
      </c>
      <c r="AM40" s="23" t="n">
        <f aca="false">'Qté 2027'!AM40*$C40</f>
        <v>0</v>
      </c>
      <c r="AN40" s="23" t="n">
        <f aca="false">'Qté 2027'!AN40*$C40</f>
        <v>0</v>
      </c>
      <c r="AO40" s="23" t="n">
        <f aca="false">'Qté 2027'!AO40*$C40</f>
        <v>0</v>
      </c>
      <c r="AP40" s="23" t="n">
        <f aca="false">'Qté 2027'!AP40*$C40</f>
        <v>0</v>
      </c>
      <c r="AQ40" s="23" t="n">
        <f aca="false">'Qté 2027'!AQ40*$C40</f>
        <v>0</v>
      </c>
      <c r="AR40" s="23" t="n">
        <f aca="false">'Qté 2027'!AR40*$C40</f>
        <v>0</v>
      </c>
      <c r="AS40" s="23" t="n">
        <f aca="false">'Qté 2027'!AS40*$C40</f>
        <v>0</v>
      </c>
      <c r="AT40" s="23" t="n">
        <f aca="false">'Qté 2027'!AT40*$C40</f>
        <v>0</v>
      </c>
      <c r="AU40" s="23" t="n">
        <f aca="false">'Qté 2027'!AU40*$C40</f>
        <v>0</v>
      </c>
      <c r="AV40" s="23" t="n">
        <f aca="false">'Qté 2027'!AV40*$C40</f>
        <v>0</v>
      </c>
      <c r="AW40" s="23" t="n">
        <f aca="false">'Qté 2027'!AW40*$C40</f>
        <v>0</v>
      </c>
      <c r="AX40" s="23" t="n">
        <f aca="false">'Qté 2027'!AX40*$C40</f>
        <v>0</v>
      </c>
      <c r="AY40" s="23" t="n">
        <f aca="false">'Qté 2027'!AY40*$C40</f>
        <v>0</v>
      </c>
      <c r="AZ40" s="23" t="n">
        <f aca="false">'Qté 2027'!AZ40*$C40</f>
        <v>0</v>
      </c>
      <c r="BA40" s="23" t="n">
        <f aca="false">'Qté 2027'!BA40*$C40</f>
        <v>0</v>
      </c>
      <c r="BB40" s="23" t="n">
        <f aca="false">'Qté 2027'!BB40*$C40</f>
        <v>0</v>
      </c>
      <c r="BC40" s="23" t="n">
        <f aca="false">'Qté 2027'!BC40*$C40</f>
        <v>0</v>
      </c>
      <c r="BD40" s="15" t="n">
        <f aca="false">SUM(D40:BC40)</f>
        <v>455.992</v>
      </c>
    </row>
    <row r="41" customFormat="false" ht="15" hidden="false" customHeight="false" outlineLevel="0" collapsed="false">
      <c r="A41" s="5" t="s">
        <v>216</v>
      </c>
      <c r="B41" s="5" t="s">
        <v>69</v>
      </c>
      <c r="C41" s="22" t="n">
        <v>114</v>
      </c>
      <c r="D41" s="23" t="n">
        <f aca="false">'Qté 2027'!D41*$C41</f>
        <v>0</v>
      </c>
      <c r="E41" s="23" t="n">
        <f aca="false">'Qté 2027'!E41*$C41</f>
        <v>0</v>
      </c>
      <c r="F41" s="23" t="n">
        <f aca="false">'Qté 2027'!F41*$C41</f>
        <v>0</v>
      </c>
      <c r="G41" s="23" t="n">
        <f aca="false">'Qté 2027'!G41*$C41</f>
        <v>0</v>
      </c>
      <c r="H41" s="23" t="n">
        <f aca="false">'Qté 2027'!H41*$C41</f>
        <v>0</v>
      </c>
      <c r="I41" s="23" t="n">
        <f aca="false">'Qté 2027'!I41*$C41</f>
        <v>0</v>
      </c>
      <c r="J41" s="23" t="n">
        <f aca="false">'Qté 2027'!J41*$C41</f>
        <v>0</v>
      </c>
      <c r="K41" s="23" t="n">
        <f aca="false">'Qté 2027'!K41*$C41</f>
        <v>0</v>
      </c>
      <c r="L41" s="23" t="n">
        <f aca="false">'Qté 2027'!L41*$C41</f>
        <v>0</v>
      </c>
      <c r="M41" s="23" t="n">
        <f aca="false">'Qté 2027'!M41*$C41</f>
        <v>0</v>
      </c>
      <c r="N41" s="23" t="n">
        <f aca="false">'Qté 2027'!N41*$C41</f>
        <v>3.42</v>
      </c>
      <c r="O41" s="23" t="n">
        <f aca="false">'Qté 2027'!O41*$C41</f>
        <v>7.98</v>
      </c>
      <c r="P41" s="23" t="n">
        <f aca="false">'Qté 2027'!P41*$C41</f>
        <v>3.42</v>
      </c>
      <c r="Q41" s="23" t="n">
        <f aca="false">'Qté 2027'!Q41*$C41</f>
        <v>0</v>
      </c>
      <c r="R41" s="23" t="n">
        <f aca="false">'Qté 2027'!R41*$C41</f>
        <v>3.42</v>
      </c>
      <c r="S41" s="23" t="n">
        <f aca="false">'Qté 2027'!S41*$C41</f>
        <v>7.98</v>
      </c>
      <c r="T41" s="23" t="n">
        <f aca="false">'Qté 2027'!T41*$C41</f>
        <v>3.42</v>
      </c>
      <c r="U41" s="23" t="n">
        <f aca="false">'Qté 2027'!U41*$C41</f>
        <v>0</v>
      </c>
      <c r="V41" s="23" t="n">
        <f aca="false">'Qté 2027'!V41*$C41</f>
        <v>0</v>
      </c>
      <c r="W41" s="23" t="n">
        <f aca="false">'Qté 2027'!W41*$C41</f>
        <v>10.26</v>
      </c>
      <c r="X41" s="23" t="n">
        <f aca="false">'Qté 2027'!X41*$C41</f>
        <v>20.52</v>
      </c>
      <c r="Y41" s="23" t="n">
        <f aca="false">'Qté 2027'!Y41*$C41</f>
        <v>10.26</v>
      </c>
      <c r="Z41" s="23" t="n">
        <f aca="false">'Qté 2027'!Z41*$C41</f>
        <v>20.52</v>
      </c>
      <c r="AA41" s="23" t="n">
        <f aca="false">'Qté 2027'!AA41*$C41</f>
        <v>41.04</v>
      </c>
      <c r="AB41" s="23" t="n">
        <f aca="false">'Qté 2027'!AB41*$C41</f>
        <v>30.78</v>
      </c>
      <c r="AC41" s="23" t="n">
        <f aca="false">'Qté 2027'!AC41*$C41</f>
        <v>20.52</v>
      </c>
      <c r="AD41" s="23" t="n">
        <f aca="false">'Qté 2027'!AD41*$C41</f>
        <v>10.26</v>
      </c>
      <c r="AE41" s="23" t="n">
        <f aca="false">'Qté 2027'!AE41*$C41</f>
        <v>0</v>
      </c>
      <c r="AF41" s="23" t="n">
        <f aca="false">'Qté 2027'!AF41*$C41</f>
        <v>9.12</v>
      </c>
      <c r="AG41" s="23" t="n">
        <f aca="false">'Qté 2027'!AG41*$C41</f>
        <v>31.92</v>
      </c>
      <c r="AH41" s="23" t="n">
        <f aca="false">'Qté 2027'!AH41*$C41</f>
        <v>36.48</v>
      </c>
      <c r="AI41" s="23" t="n">
        <f aca="false">'Qté 2027'!AI41*$C41</f>
        <v>22.8</v>
      </c>
      <c r="AJ41" s="23" t="n">
        <f aca="false">'Qté 2027'!AJ41*$C41</f>
        <v>19.38</v>
      </c>
      <c r="AK41" s="23" t="n">
        <f aca="false">'Qté 2027'!AK41*$C41</f>
        <v>19.38</v>
      </c>
      <c r="AL41" s="23" t="n">
        <f aca="false">'Qté 2027'!AL41*$C41</f>
        <v>19.38</v>
      </c>
      <c r="AM41" s="23" t="n">
        <f aca="false">'Qté 2027'!AM41*$C41</f>
        <v>9.12</v>
      </c>
      <c r="AN41" s="23" t="n">
        <f aca="false">'Qté 2027'!AN41*$C41</f>
        <v>0</v>
      </c>
      <c r="AO41" s="23" t="n">
        <f aca="false">'Qté 2027'!AO41*$C41</f>
        <v>0</v>
      </c>
      <c r="AP41" s="23" t="n">
        <f aca="false">'Qté 2027'!AP41*$C41</f>
        <v>0</v>
      </c>
      <c r="AQ41" s="23" t="n">
        <f aca="false">'Qté 2027'!AQ41*$C41</f>
        <v>0</v>
      </c>
      <c r="AR41" s="23" t="n">
        <f aca="false">'Qté 2027'!AR41*$C41</f>
        <v>0</v>
      </c>
      <c r="AS41" s="23" t="n">
        <f aca="false">'Qté 2027'!AS41*$C41</f>
        <v>0</v>
      </c>
      <c r="AT41" s="23" t="n">
        <f aca="false">'Qté 2027'!AT41*$C41</f>
        <v>0</v>
      </c>
      <c r="AU41" s="23" t="n">
        <f aca="false">'Qté 2027'!AU41*$C41</f>
        <v>0</v>
      </c>
      <c r="AV41" s="23" t="n">
        <f aca="false">'Qté 2027'!AV41*$C41</f>
        <v>0</v>
      </c>
      <c r="AW41" s="23" t="n">
        <f aca="false">'Qté 2027'!AW41*$C41</f>
        <v>0</v>
      </c>
      <c r="AX41" s="23" t="n">
        <f aca="false">'Qté 2027'!AX41*$C41</f>
        <v>0</v>
      </c>
      <c r="AY41" s="23" t="n">
        <f aca="false">'Qté 2027'!AY41*$C41</f>
        <v>0</v>
      </c>
      <c r="AZ41" s="23" t="n">
        <f aca="false">'Qté 2027'!AZ41*$C41</f>
        <v>0</v>
      </c>
      <c r="BA41" s="23" t="n">
        <f aca="false">'Qté 2027'!BA41*$C41</f>
        <v>0</v>
      </c>
      <c r="BB41" s="23" t="n">
        <f aca="false">'Qté 2027'!BB41*$C41</f>
        <v>0</v>
      </c>
      <c r="BC41" s="23" t="n">
        <f aca="false">'Qté 2027'!BC41*$C41</f>
        <v>0</v>
      </c>
      <c r="BD41" s="15" t="n">
        <f aca="false">SUM(D41:BC41)</f>
        <v>361.38</v>
      </c>
    </row>
    <row r="42" customFormat="false" ht="15" hidden="false" customHeight="false" outlineLevel="0" collapsed="false">
      <c r="A42" s="5" t="s">
        <v>217</v>
      </c>
      <c r="B42" s="5" t="s">
        <v>69</v>
      </c>
      <c r="C42" s="22" t="n">
        <v>100.88</v>
      </c>
      <c r="D42" s="23" t="n">
        <f aca="false">'Qté 2027'!D42*$C42</f>
        <v>0</v>
      </c>
      <c r="E42" s="23" t="n">
        <f aca="false">'Qté 2027'!E42*$C42</f>
        <v>0</v>
      </c>
      <c r="F42" s="23" t="n">
        <f aca="false">'Qté 2027'!F42*$C42</f>
        <v>0</v>
      </c>
      <c r="G42" s="23" t="n">
        <f aca="false">'Qté 2027'!G42*$C42</f>
        <v>0</v>
      </c>
      <c r="H42" s="23" t="n">
        <f aca="false">'Qté 2027'!H42*$C42</f>
        <v>0</v>
      </c>
      <c r="I42" s="23" t="n">
        <f aca="false">'Qté 2027'!I42*$C42</f>
        <v>0</v>
      </c>
      <c r="J42" s="23" t="n">
        <f aca="false">'Qté 2027'!J42*$C42</f>
        <v>0</v>
      </c>
      <c r="K42" s="23" t="n">
        <f aca="false">'Qté 2027'!K42*$C42</f>
        <v>0</v>
      </c>
      <c r="L42" s="23" t="n">
        <f aca="false">'Qté 2027'!L42*$C42</f>
        <v>0</v>
      </c>
      <c r="M42" s="23" t="n">
        <f aca="false">'Qté 2027'!M42*$C42</f>
        <v>0</v>
      </c>
      <c r="N42" s="23" t="n">
        <f aca="false">'Qté 2027'!N42*$C42</f>
        <v>0</v>
      </c>
      <c r="O42" s="23" t="n">
        <f aca="false">'Qté 2027'!O42*$C42</f>
        <v>0</v>
      </c>
      <c r="P42" s="23" t="n">
        <f aca="false">'Qté 2027'!P42*$C42</f>
        <v>0</v>
      </c>
      <c r="Q42" s="23" t="n">
        <f aca="false">'Qté 2027'!Q42*$C42</f>
        <v>9.0792</v>
      </c>
      <c r="R42" s="23" t="n">
        <f aca="false">'Qté 2027'!R42*$C42</f>
        <v>18.1584</v>
      </c>
      <c r="S42" s="23" t="n">
        <f aca="false">'Qté 2027'!S42*$C42</f>
        <v>9.0792</v>
      </c>
      <c r="T42" s="23" t="n">
        <f aca="false">'Qté 2027'!T42*$C42</f>
        <v>0</v>
      </c>
      <c r="U42" s="23" t="n">
        <f aca="false">'Qté 2027'!U42*$C42</f>
        <v>0</v>
      </c>
      <c r="V42" s="23" t="n">
        <f aca="false">'Qté 2027'!V42*$C42</f>
        <v>8.0704</v>
      </c>
      <c r="W42" s="23" t="n">
        <f aca="false">'Qté 2027'!W42*$C42</f>
        <v>16.1408</v>
      </c>
      <c r="X42" s="23" t="n">
        <f aca="false">'Qté 2027'!X42*$C42</f>
        <v>8.0704</v>
      </c>
      <c r="Y42" s="23" t="n">
        <f aca="false">'Qté 2027'!Y42*$C42</f>
        <v>8.0704</v>
      </c>
      <c r="Z42" s="23" t="n">
        <f aca="false">'Qté 2027'!Z42*$C42</f>
        <v>16.1408</v>
      </c>
      <c r="AA42" s="23" t="n">
        <f aca="false">'Qté 2027'!AA42*$C42</f>
        <v>21.1848</v>
      </c>
      <c r="AB42" s="23" t="n">
        <f aca="false">'Qté 2027'!AB42*$C42</f>
        <v>27.2376</v>
      </c>
      <c r="AC42" s="23" t="n">
        <f aca="false">'Qté 2027'!AC42*$C42</f>
        <v>14.1232</v>
      </c>
      <c r="AD42" s="23" t="n">
        <f aca="false">'Qté 2027'!AD42*$C42</f>
        <v>0</v>
      </c>
      <c r="AE42" s="23" t="n">
        <f aca="false">'Qté 2027'!AE42*$C42</f>
        <v>28.2464</v>
      </c>
      <c r="AF42" s="23" t="n">
        <f aca="false">'Qté 2027'!AF42*$C42</f>
        <v>56.4928</v>
      </c>
      <c r="AG42" s="23" t="n">
        <f aca="false">'Qté 2027'!AG42*$C42</f>
        <v>28.2464</v>
      </c>
      <c r="AH42" s="23" t="n">
        <f aca="false">'Qté 2027'!AH42*$C42</f>
        <v>0</v>
      </c>
      <c r="AI42" s="23" t="n">
        <f aca="false">'Qté 2027'!AI42*$C42</f>
        <v>8.0704</v>
      </c>
      <c r="AJ42" s="23" t="n">
        <f aca="false">'Qté 2027'!AJ42*$C42</f>
        <v>17.1496</v>
      </c>
      <c r="AK42" s="23" t="n">
        <f aca="false">'Qté 2027'!AK42*$C42</f>
        <v>8.0704</v>
      </c>
      <c r="AL42" s="23" t="n">
        <f aca="false">'Qté 2027'!AL42*$C42</f>
        <v>0</v>
      </c>
      <c r="AM42" s="23" t="n">
        <f aca="false">'Qté 2027'!AM42*$C42</f>
        <v>0</v>
      </c>
      <c r="AN42" s="23" t="n">
        <f aca="false">'Qté 2027'!AN42*$C42</f>
        <v>0</v>
      </c>
      <c r="AO42" s="23" t="n">
        <f aca="false">'Qté 2027'!AO42*$C42</f>
        <v>0</v>
      </c>
      <c r="AP42" s="23" t="n">
        <f aca="false">'Qté 2027'!AP42*$C42</f>
        <v>0</v>
      </c>
      <c r="AQ42" s="23" t="n">
        <f aca="false">'Qté 2027'!AQ42*$C42</f>
        <v>0</v>
      </c>
      <c r="AR42" s="23" t="n">
        <f aca="false">'Qté 2027'!AR42*$C42</f>
        <v>0</v>
      </c>
      <c r="AS42" s="23" t="n">
        <f aca="false">'Qté 2027'!AS42*$C42</f>
        <v>0</v>
      </c>
      <c r="AT42" s="23" t="n">
        <f aca="false">'Qté 2027'!AT42*$C42</f>
        <v>0</v>
      </c>
      <c r="AU42" s="23" t="n">
        <f aca="false">'Qté 2027'!AU42*$C42</f>
        <v>0</v>
      </c>
      <c r="AV42" s="23" t="n">
        <f aca="false">'Qté 2027'!AV42*$C42</f>
        <v>0</v>
      </c>
      <c r="AW42" s="23" t="n">
        <f aca="false">'Qté 2027'!AW42*$C42</f>
        <v>0</v>
      </c>
      <c r="AX42" s="23" t="n">
        <f aca="false">'Qté 2027'!AX42*$C42</f>
        <v>0</v>
      </c>
      <c r="AY42" s="23" t="n">
        <f aca="false">'Qté 2027'!AY42*$C42</f>
        <v>0</v>
      </c>
      <c r="AZ42" s="23" t="n">
        <f aca="false">'Qté 2027'!AZ42*$C42</f>
        <v>0</v>
      </c>
      <c r="BA42" s="23" t="n">
        <f aca="false">'Qté 2027'!BA42*$C42</f>
        <v>0</v>
      </c>
      <c r="BB42" s="23" t="n">
        <f aca="false">'Qté 2027'!BB42*$C42</f>
        <v>0</v>
      </c>
      <c r="BC42" s="23" t="n">
        <f aca="false">'Qté 2027'!BC42*$C42</f>
        <v>0</v>
      </c>
      <c r="BD42" s="15" t="n">
        <f aca="false">SUM(D42:BC42)</f>
        <v>301.6312</v>
      </c>
    </row>
    <row r="43" customFormat="false" ht="15" hidden="false" customHeight="false" outlineLevel="0" collapsed="false">
      <c r="A43" s="5" t="s">
        <v>218</v>
      </c>
      <c r="B43" s="5" t="s">
        <v>57</v>
      </c>
      <c r="C43" s="22" t="n">
        <v>22</v>
      </c>
      <c r="D43" s="23" t="n">
        <f aca="false">'Qté 2027'!D43*$C43</f>
        <v>1.54</v>
      </c>
      <c r="E43" s="23" t="n">
        <f aca="false">'Qté 2027'!E43*$C43</f>
        <v>3.08</v>
      </c>
      <c r="F43" s="23" t="n">
        <f aca="false">'Qté 2027'!F43*$C43</f>
        <v>1.54</v>
      </c>
      <c r="G43" s="23" t="n">
        <f aca="false">'Qté 2027'!G43*$C43</f>
        <v>0</v>
      </c>
      <c r="H43" s="23" t="n">
        <f aca="false">'Qté 2027'!H43*$C43</f>
        <v>0</v>
      </c>
      <c r="I43" s="23" t="n">
        <f aca="false">'Qté 2027'!I43*$C43</f>
        <v>0</v>
      </c>
      <c r="J43" s="23" t="n">
        <f aca="false">'Qté 2027'!J43*$C43</f>
        <v>0</v>
      </c>
      <c r="K43" s="23" t="n">
        <f aca="false">'Qté 2027'!K43*$C43</f>
        <v>0</v>
      </c>
      <c r="L43" s="23" t="n">
        <f aca="false">'Qté 2027'!L43*$C43</f>
        <v>0</v>
      </c>
      <c r="M43" s="23" t="n">
        <f aca="false">'Qté 2027'!M43*$C43</f>
        <v>0</v>
      </c>
      <c r="N43" s="23" t="n">
        <f aca="false">'Qté 2027'!N43*$C43</f>
        <v>0</v>
      </c>
      <c r="O43" s="23" t="n">
        <f aca="false">'Qté 2027'!O43*$C43</f>
        <v>3.3</v>
      </c>
      <c r="P43" s="23" t="n">
        <f aca="false">'Qté 2027'!P43*$C43</f>
        <v>6.38</v>
      </c>
      <c r="Q43" s="23" t="n">
        <f aca="false">'Qté 2027'!Q43*$C43</f>
        <v>3.3</v>
      </c>
      <c r="R43" s="23" t="n">
        <f aca="false">'Qté 2027'!R43*$C43</f>
        <v>0.66</v>
      </c>
      <c r="S43" s="23" t="n">
        <f aca="false">'Qté 2027'!S43*$C43</f>
        <v>3.52</v>
      </c>
      <c r="T43" s="23" t="n">
        <f aca="false">'Qté 2027'!T43*$C43</f>
        <v>5.28</v>
      </c>
      <c r="U43" s="23" t="n">
        <f aca="false">'Qté 2027'!U43*$C43</f>
        <v>3.08</v>
      </c>
      <c r="V43" s="23" t="n">
        <f aca="false">'Qté 2027'!V43*$C43</f>
        <v>1.76</v>
      </c>
      <c r="W43" s="23" t="n">
        <f aca="false">'Qté 2027'!W43*$C43</f>
        <v>3.96</v>
      </c>
      <c r="X43" s="23" t="n">
        <f aca="false">'Qté 2027'!X43*$C43</f>
        <v>17.38</v>
      </c>
      <c r="Y43" s="23" t="n">
        <f aca="false">'Qté 2027'!Y43*$C43</f>
        <v>36.52</v>
      </c>
      <c r="Z43" s="23" t="n">
        <f aca="false">'Qté 2027'!Z43*$C43</f>
        <v>38.72</v>
      </c>
      <c r="AA43" s="23" t="n">
        <f aca="false">'Qté 2027'!AA43*$C43</f>
        <v>27.5</v>
      </c>
      <c r="AB43" s="23" t="n">
        <f aca="false">'Qté 2027'!AB43*$C43</f>
        <v>16.72</v>
      </c>
      <c r="AC43" s="23" t="n">
        <f aca="false">'Qté 2027'!AC43*$C43</f>
        <v>11.44</v>
      </c>
      <c r="AD43" s="23" t="n">
        <f aca="false">'Qté 2027'!AD43*$C43</f>
        <v>7.48</v>
      </c>
      <c r="AE43" s="23" t="n">
        <f aca="false">'Qté 2027'!AE43*$C43</f>
        <v>10.12</v>
      </c>
      <c r="AF43" s="23" t="n">
        <f aca="false">'Qté 2027'!AF43*$C43</f>
        <v>21.56</v>
      </c>
      <c r="AG43" s="23" t="n">
        <f aca="false">'Qté 2027'!AG43*$C43</f>
        <v>23.1</v>
      </c>
      <c r="AH43" s="23" t="n">
        <f aca="false">'Qté 2027'!AH43*$C43</f>
        <v>18.7</v>
      </c>
      <c r="AI43" s="23" t="n">
        <f aca="false">'Qté 2027'!AI43*$C43</f>
        <v>15.4</v>
      </c>
      <c r="AJ43" s="23" t="n">
        <f aca="false">'Qté 2027'!AJ43*$C43</f>
        <v>7.26</v>
      </c>
      <c r="AK43" s="23" t="n">
        <f aca="false">'Qté 2027'!AK43*$C43</f>
        <v>1.1</v>
      </c>
      <c r="AL43" s="23" t="n">
        <f aca="false">'Qté 2027'!AL43*$C43</f>
        <v>0</v>
      </c>
      <c r="AM43" s="23" t="n">
        <f aca="false">'Qté 2027'!AM43*$C43</f>
        <v>0</v>
      </c>
      <c r="AN43" s="23" t="n">
        <f aca="false">'Qté 2027'!AN43*$C43</f>
        <v>1.1</v>
      </c>
      <c r="AO43" s="23" t="n">
        <f aca="false">'Qté 2027'!AO43*$C43</f>
        <v>2.2</v>
      </c>
      <c r="AP43" s="23" t="n">
        <f aca="false">'Qté 2027'!AP43*$C43</f>
        <v>1.1</v>
      </c>
      <c r="AQ43" s="23" t="n">
        <f aca="false">'Qté 2027'!AQ43*$C43</f>
        <v>0</v>
      </c>
      <c r="AR43" s="23" t="n">
        <f aca="false">'Qté 2027'!AR43*$C43</f>
        <v>0</v>
      </c>
      <c r="AS43" s="23" t="n">
        <f aca="false">'Qté 2027'!AS43*$C43</f>
        <v>0</v>
      </c>
      <c r="AT43" s="23" t="n">
        <f aca="false">'Qté 2027'!AT43*$C43</f>
        <v>0</v>
      </c>
      <c r="AU43" s="23" t="n">
        <f aca="false">'Qté 2027'!AU43*$C43</f>
        <v>0</v>
      </c>
      <c r="AV43" s="23" t="n">
        <f aca="false">'Qté 2027'!AV43*$C43</f>
        <v>0</v>
      </c>
      <c r="AW43" s="23" t="n">
        <f aca="false">'Qté 2027'!AW43*$C43</f>
        <v>0</v>
      </c>
      <c r="AX43" s="23" t="n">
        <f aca="false">'Qté 2027'!AX43*$C43</f>
        <v>0</v>
      </c>
      <c r="AY43" s="23" t="n">
        <f aca="false">'Qté 2027'!AY43*$C43</f>
        <v>0</v>
      </c>
      <c r="AZ43" s="23" t="n">
        <f aca="false">'Qté 2027'!AZ43*$C43</f>
        <v>0</v>
      </c>
      <c r="BA43" s="23" t="n">
        <f aca="false">'Qté 2027'!BA43*$C43</f>
        <v>0</v>
      </c>
      <c r="BB43" s="23" t="n">
        <f aca="false">'Qté 2027'!BB43*$C43</f>
        <v>0</v>
      </c>
      <c r="BC43" s="23" t="n">
        <f aca="false">'Qté 2027'!BC43*$C43</f>
        <v>0</v>
      </c>
      <c r="BD43" s="15" t="n">
        <f aca="false">SUM(D43:BC43)</f>
        <v>294.8</v>
      </c>
    </row>
    <row r="44" customFormat="false" ht="15" hidden="false" customHeight="false" outlineLevel="0" collapsed="false">
      <c r="A44" s="5" t="s">
        <v>219</v>
      </c>
      <c r="B44" s="5" t="s">
        <v>69</v>
      </c>
      <c r="C44" s="22" t="n">
        <v>7.25</v>
      </c>
      <c r="D44" s="23" t="n">
        <f aca="false">'Qté 2027'!D44*$C44</f>
        <v>0</v>
      </c>
      <c r="E44" s="23" t="n">
        <f aca="false">'Qté 2027'!E44*$C44</f>
        <v>0</v>
      </c>
      <c r="F44" s="23" t="n">
        <f aca="false">'Qté 2027'!F44*$C44</f>
        <v>0</v>
      </c>
      <c r="G44" s="23" t="n">
        <f aca="false">'Qté 2027'!G44*$C44</f>
        <v>0</v>
      </c>
      <c r="H44" s="23" t="n">
        <f aca="false">'Qté 2027'!H44*$C44</f>
        <v>0</v>
      </c>
      <c r="I44" s="23" t="n">
        <f aca="false">'Qté 2027'!I44*$C44</f>
        <v>0</v>
      </c>
      <c r="J44" s="23" t="n">
        <f aca="false">'Qté 2027'!J44*$C44</f>
        <v>0</v>
      </c>
      <c r="K44" s="23" t="n">
        <f aca="false">'Qté 2027'!K44*$C44</f>
        <v>0</v>
      </c>
      <c r="L44" s="23" t="n">
        <f aca="false">'Qté 2027'!L44*$C44</f>
        <v>0</v>
      </c>
      <c r="M44" s="23" t="n">
        <f aca="false">'Qté 2027'!M44*$C44</f>
        <v>0</v>
      </c>
      <c r="N44" s="23" t="n">
        <f aca="false">'Qté 2027'!N44*$C44</f>
        <v>0</v>
      </c>
      <c r="O44" s="23" t="n">
        <f aca="false">'Qté 2027'!O44*$C44</f>
        <v>0</v>
      </c>
      <c r="P44" s="23" t="n">
        <f aca="false">'Qté 2027'!P44*$C44</f>
        <v>0.58</v>
      </c>
      <c r="Q44" s="23" t="n">
        <f aca="false">'Qté 2027'!Q44*$C44</f>
        <v>3.915</v>
      </c>
      <c r="R44" s="23" t="n">
        <f aca="false">'Qté 2027'!R44*$C44</f>
        <v>7.0325</v>
      </c>
      <c r="S44" s="23" t="n">
        <f aca="false">'Qté 2027'!S44*$C44</f>
        <v>8.12</v>
      </c>
      <c r="T44" s="23" t="n">
        <f aca="false">'Qté 2027'!T44*$C44</f>
        <v>9.425</v>
      </c>
      <c r="U44" s="23" t="n">
        <f aca="false">'Qté 2027'!U44*$C44</f>
        <v>9.4975</v>
      </c>
      <c r="V44" s="23" t="n">
        <f aca="false">'Qté 2027'!V44*$C44</f>
        <v>9.4975</v>
      </c>
      <c r="W44" s="23" t="n">
        <f aca="false">'Qté 2027'!W44*$C44</f>
        <v>10.73</v>
      </c>
      <c r="X44" s="23" t="n">
        <f aca="false">'Qté 2027'!X44*$C44</f>
        <v>14.5</v>
      </c>
      <c r="Y44" s="23" t="n">
        <f aca="false">'Qté 2027'!Y44*$C44</f>
        <v>17.9075</v>
      </c>
      <c r="Z44" s="23" t="n">
        <f aca="false">'Qté 2027'!Z44*$C44</f>
        <v>16.965</v>
      </c>
      <c r="AA44" s="23" t="n">
        <f aca="false">'Qté 2027'!AA44*$C44</f>
        <v>14.1375</v>
      </c>
      <c r="AB44" s="23" t="n">
        <f aca="false">'Qté 2027'!AB44*$C44</f>
        <v>12.6875</v>
      </c>
      <c r="AC44" s="23" t="n">
        <f aca="false">'Qté 2027'!AC44*$C44</f>
        <v>13.34</v>
      </c>
      <c r="AD44" s="23" t="n">
        <f aca="false">'Qté 2027'!AD44*$C44</f>
        <v>15.1525</v>
      </c>
      <c r="AE44" s="23" t="n">
        <f aca="false">'Qté 2027'!AE44*$C44</f>
        <v>17.98</v>
      </c>
      <c r="AF44" s="23" t="n">
        <f aca="false">'Qté 2027'!AF44*$C44</f>
        <v>17.255</v>
      </c>
      <c r="AG44" s="23" t="n">
        <f aca="false">'Qté 2027'!AG44*$C44</f>
        <v>9.425</v>
      </c>
      <c r="AH44" s="23" t="n">
        <f aca="false">'Qté 2027'!AH44*$C44</f>
        <v>6.0175</v>
      </c>
      <c r="AI44" s="23" t="n">
        <f aca="false">'Qté 2027'!AI44*$C44</f>
        <v>14.79</v>
      </c>
      <c r="AJ44" s="23" t="n">
        <f aca="false">'Qté 2027'!AJ44*$C44</f>
        <v>17.69</v>
      </c>
      <c r="AK44" s="23" t="n">
        <f aca="false">'Qté 2027'!AK44*$C44</f>
        <v>9.4975</v>
      </c>
      <c r="AL44" s="23" t="n">
        <f aca="false">'Qté 2027'!AL44*$C44</f>
        <v>6.8875</v>
      </c>
      <c r="AM44" s="23" t="n">
        <f aca="false">'Qté 2027'!AM44*$C44</f>
        <v>6.525</v>
      </c>
      <c r="AN44" s="23" t="n">
        <f aca="false">'Qté 2027'!AN44*$C44</f>
        <v>3.8425</v>
      </c>
      <c r="AO44" s="23" t="n">
        <f aca="false">'Qté 2027'!AO44*$C44</f>
        <v>3.4075</v>
      </c>
      <c r="AP44" s="23" t="n">
        <f aca="false">'Qté 2027'!AP44*$C44</f>
        <v>2.755</v>
      </c>
      <c r="AQ44" s="23" t="n">
        <f aca="false">'Qté 2027'!AQ44*$C44</f>
        <v>1.595</v>
      </c>
      <c r="AR44" s="23" t="n">
        <f aca="false">'Qté 2027'!AR44*$C44</f>
        <v>1.45</v>
      </c>
      <c r="AS44" s="23" t="n">
        <f aca="false">'Qté 2027'!AS44*$C44</f>
        <v>1.0875</v>
      </c>
      <c r="AT44" s="23" t="n">
        <f aca="false">'Qté 2027'!AT44*$C44</f>
        <v>1.45</v>
      </c>
      <c r="AU44" s="23" t="n">
        <f aca="false">'Qté 2027'!AU44*$C44</f>
        <v>2.3925</v>
      </c>
      <c r="AV44" s="23" t="n">
        <f aca="false">'Qté 2027'!AV44*$C44</f>
        <v>1.2325</v>
      </c>
      <c r="AW44" s="23" t="n">
        <f aca="false">'Qté 2027'!AW44*$C44</f>
        <v>0</v>
      </c>
      <c r="AX44" s="23" t="n">
        <f aca="false">'Qté 2027'!AX44*$C44</f>
        <v>0</v>
      </c>
      <c r="AY44" s="23" t="n">
        <f aca="false">'Qté 2027'!AY44*$C44</f>
        <v>0</v>
      </c>
      <c r="AZ44" s="23" t="n">
        <f aca="false">'Qté 2027'!AZ44*$C44</f>
        <v>0</v>
      </c>
      <c r="BA44" s="23" t="n">
        <f aca="false">'Qté 2027'!BA44*$C44</f>
        <v>0</v>
      </c>
      <c r="BB44" s="23" t="n">
        <f aca="false">'Qté 2027'!BB44*$C44</f>
        <v>0</v>
      </c>
      <c r="BC44" s="23" t="n">
        <f aca="false">'Qté 2027'!BC44*$C44</f>
        <v>0</v>
      </c>
      <c r="BD44" s="15" t="n">
        <f aca="false">SUM(D44:BC44)</f>
        <v>288.7675</v>
      </c>
    </row>
    <row r="45" customFormat="false" ht="15" hidden="false" customHeight="false" outlineLevel="0" collapsed="false">
      <c r="A45" s="5" t="s">
        <v>220</v>
      </c>
      <c r="B45" s="5" t="s">
        <v>45</v>
      </c>
      <c r="C45" s="22" t="n">
        <v>22.92</v>
      </c>
      <c r="D45" s="23" t="n">
        <f aca="false">'Qté 2027'!D45*$C45</f>
        <v>1.8336</v>
      </c>
      <c r="E45" s="23" t="n">
        <f aca="false">'Qté 2027'!E45*$C45</f>
        <v>3.6672</v>
      </c>
      <c r="F45" s="23" t="n">
        <f aca="false">'Qté 2027'!F45*$C45</f>
        <v>1.8336</v>
      </c>
      <c r="G45" s="23" t="n">
        <f aca="false">'Qté 2027'!G45*$C45</f>
        <v>0</v>
      </c>
      <c r="H45" s="23" t="n">
        <f aca="false">'Qté 2027'!H45*$C45</f>
        <v>0</v>
      </c>
      <c r="I45" s="23" t="n">
        <f aca="false">'Qté 2027'!I45*$C45</f>
        <v>0</v>
      </c>
      <c r="J45" s="23" t="n">
        <f aca="false">'Qté 2027'!J45*$C45</f>
        <v>0</v>
      </c>
      <c r="K45" s="23" t="n">
        <f aca="false">'Qté 2027'!K45*$C45</f>
        <v>0</v>
      </c>
      <c r="L45" s="23" t="n">
        <f aca="false">'Qté 2027'!L45*$C45</f>
        <v>0</v>
      </c>
      <c r="M45" s="23" t="n">
        <f aca="false">'Qté 2027'!M45*$C45</f>
        <v>0</v>
      </c>
      <c r="N45" s="23" t="n">
        <f aca="false">'Qté 2027'!N45*$C45</f>
        <v>3.438</v>
      </c>
      <c r="O45" s="23" t="n">
        <f aca="false">'Qté 2027'!O45*$C45</f>
        <v>12.8352</v>
      </c>
      <c r="P45" s="23" t="n">
        <f aca="false">'Qté 2027'!P45*$C45</f>
        <v>17.19</v>
      </c>
      <c r="Q45" s="23" t="n">
        <f aca="false">'Qté 2027'!Q45*$C45</f>
        <v>9.3972</v>
      </c>
      <c r="R45" s="23" t="n">
        <f aca="false">'Qté 2027'!R45*$C45</f>
        <v>4.8132</v>
      </c>
      <c r="S45" s="23" t="n">
        <f aca="false">'Qté 2027'!S45*$C45</f>
        <v>7.7928</v>
      </c>
      <c r="T45" s="23" t="n">
        <f aca="false">'Qté 2027'!T45*$C45</f>
        <v>8.2512</v>
      </c>
      <c r="U45" s="23" t="n">
        <f aca="false">'Qté 2027'!U45*$C45</f>
        <v>7.7928</v>
      </c>
      <c r="V45" s="23" t="n">
        <f aca="false">'Qté 2027'!V45*$C45</f>
        <v>9.168</v>
      </c>
      <c r="W45" s="23" t="n">
        <f aca="false">'Qté 2027'!W45*$C45</f>
        <v>9.168</v>
      </c>
      <c r="X45" s="23" t="n">
        <f aca="false">'Qté 2027'!X45*$C45</f>
        <v>19.7112</v>
      </c>
      <c r="Y45" s="23" t="n">
        <f aca="false">'Qté 2027'!Y45*$C45</f>
        <v>29.3376</v>
      </c>
      <c r="Z45" s="23" t="n">
        <f aca="false">'Qté 2027'!Z45*$C45</f>
        <v>19.2528</v>
      </c>
      <c r="AA45" s="23" t="n">
        <f aca="false">'Qté 2027'!AA45*$C45</f>
        <v>13.9812</v>
      </c>
      <c r="AB45" s="23" t="n">
        <f aca="false">'Qté 2027'!AB45*$C45</f>
        <v>14.4396</v>
      </c>
      <c r="AC45" s="23" t="n">
        <f aca="false">'Qté 2027'!AC45*$C45</f>
        <v>8.7096</v>
      </c>
      <c r="AD45" s="23" t="n">
        <f aca="false">'Qté 2027'!AD45*$C45</f>
        <v>6.6468</v>
      </c>
      <c r="AE45" s="23" t="n">
        <f aca="false">'Qté 2027'!AE45*$C45</f>
        <v>8.9388</v>
      </c>
      <c r="AF45" s="23" t="n">
        <f aca="false">'Qté 2027'!AF45*$C45</f>
        <v>7.3344</v>
      </c>
      <c r="AG45" s="23" t="n">
        <f aca="false">'Qté 2027'!AG45*$C45</f>
        <v>8.022</v>
      </c>
      <c r="AH45" s="23" t="n">
        <f aca="false">'Qté 2027'!AH45*$C45</f>
        <v>12.8352</v>
      </c>
      <c r="AI45" s="23" t="n">
        <f aca="false">'Qté 2027'!AI45*$C45</f>
        <v>9.8556</v>
      </c>
      <c r="AJ45" s="23" t="n">
        <f aca="false">'Qté 2027'!AJ45*$C45</f>
        <v>2.7504</v>
      </c>
      <c r="AK45" s="23" t="n">
        <f aca="false">'Qté 2027'!AK45*$C45</f>
        <v>1.8336</v>
      </c>
      <c r="AL45" s="23" t="n">
        <f aca="false">'Qté 2027'!AL45*$C45</f>
        <v>3.8964</v>
      </c>
      <c r="AM45" s="23" t="n">
        <f aca="false">'Qté 2027'!AM45*$C45</f>
        <v>1.8336</v>
      </c>
      <c r="AN45" s="23" t="n">
        <f aca="false">'Qté 2027'!AN45*$C45</f>
        <v>0.6876</v>
      </c>
      <c r="AO45" s="23" t="n">
        <f aca="false">'Qté 2027'!AO45*$C45</f>
        <v>1.6044</v>
      </c>
      <c r="AP45" s="23" t="n">
        <f aca="false">'Qté 2027'!AP45*$C45</f>
        <v>0.6876</v>
      </c>
      <c r="AQ45" s="23" t="n">
        <f aca="false">'Qté 2027'!AQ45*$C45</f>
        <v>0</v>
      </c>
      <c r="AR45" s="23" t="n">
        <f aca="false">'Qté 2027'!AR45*$C45</f>
        <v>0.6876</v>
      </c>
      <c r="AS45" s="23" t="n">
        <f aca="false">'Qté 2027'!AS45*$C45</f>
        <v>1.6044</v>
      </c>
      <c r="AT45" s="23" t="n">
        <f aca="false">'Qté 2027'!AT45*$C45</f>
        <v>0.6876</v>
      </c>
      <c r="AU45" s="23" t="n">
        <f aca="false">'Qté 2027'!AU45*$C45</f>
        <v>0</v>
      </c>
      <c r="AV45" s="23" t="n">
        <f aca="false">'Qté 2027'!AV45*$C45</f>
        <v>1.8336</v>
      </c>
      <c r="AW45" s="23" t="n">
        <f aca="false">'Qté 2027'!AW45*$C45</f>
        <v>3.8964</v>
      </c>
      <c r="AX45" s="23" t="n">
        <f aca="false">'Qté 2027'!AX45*$C45</f>
        <v>1.8336</v>
      </c>
      <c r="AY45" s="23" t="n">
        <f aca="false">'Qté 2027'!AY45*$C45</f>
        <v>0</v>
      </c>
      <c r="AZ45" s="23" t="n">
        <f aca="false">'Qté 2027'!AZ45*$C45</f>
        <v>0</v>
      </c>
      <c r="BA45" s="23" t="n">
        <f aca="false">'Qté 2027'!BA45*$C45</f>
        <v>0</v>
      </c>
      <c r="BB45" s="23" t="n">
        <f aca="false">'Qté 2027'!BB45*$C45</f>
        <v>0</v>
      </c>
      <c r="BC45" s="23" t="n">
        <f aca="false">'Qté 2027'!BC45*$C45</f>
        <v>0</v>
      </c>
      <c r="BD45" s="15" t="n">
        <f aca="false">SUM(D45:BC45)</f>
        <v>280.0824</v>
      </c>
    </row>
    <row r="46" customFormat="false" ht="15" hidden="false" customHeight="false" outlineLevel="0" collapsed="false">
      <c r="A46" s="5" t="s">
        <v>221</v>
      </c>
      <c r="B46" s="5" t="s">
        <v>69</v>
      </c>
      <c r="C46" s="22" t="n">
        <v>25</v>
      </c>
      <c r="D46" s="23" t="n">
        <f aca="false">'Qté 2027'!D46*$C46</f>
        <v>0</v>
      </c>
      <c r="E46" s="23" t="n">
        <f aca="false">'Qté 2027'!E46*$C46</f>
        <v>0</v>
      </c>
      <c r="F46" s="23" t="n">
        <f aca="false">'Qté 2027'!F46*$C46</f>
        <v>0</v>
      </c>
      <c r="G46" s="23" t="n">
        <f aca="false">'Qté 2027'!G46*$C46</f>
        <v>0</v>
      </c>
      <c r="H46" s="23" t="n">
        <f aca="false">'Qté 2027'!H46*$C46</f>
        <v>0</v>
      </c>
      <c r="I46" s="23" t="n">
        <f aca="false">'Qté 2027'!I46*$C46</f>
        <v>0</v>
      </c>
      <c r="J46" s="23" t="n">
        <f aca="false">'Qté 2027'!J46*$C46</f>
        <v>0</v>
      </c>
      <c r="K46" s="23" t="n">
        <f aca="false">'Qté 2027'!K46*$C46</f>
        <v>0</v>
      </c>
      <c r="L46" s="23" t="n">
        <f aca="false">'Qté 2027'!L46*$C46</f>
        <v>0</v>
      </c>
      <c r="M46" s="23" t="n">
        <f aca="false">'Qté 2027'!M46*$C46</f>
        <v>0</v>
      </c>
      <c r="N46" s="23" t="n">
        <f aca="false">'Qté 2027'!N46*$C46</f>
        <v>0</v>
      </c>
      <c r="O46" s="23" t="n">
        <f aca="false">'Qté 2027'!O46*$C46</f>
        <v>0</v>
      </c>
      <c r="P46" s="23" t="n">
        <f aca="false">'Qté 2027'!P46*$C46</f>
        <v>0</v>
      </c>
      <c r="Q46" s="23" t="n">
        <f aca="false">'Qté 2027'!Q46*$C46</f>
        <v>0</v>
      </c>
      <c r="R46" s="23" t="n">
        <f aca="false">'Qté 2027'!R46*$C46</f>
        <v>0</v>
      </c>
      <c r="S46" s="23" t="n">
        <f aca="false">'Qté 2027'!S46*$C46</f>
        <v>0</v>
      </c>
      <c r="T46" s="23" t="n">
        <f aca="false">'Qté 2027'!T46*$C46</f>
        <v>0</v>
      </c>
      <c r="U46" s="23" t="n">
        <f aca="false">'Qté 2027'!U46*$C46</f>
        <v>0</v>
      </c>
      <c r="V46" s="23" t="n">
        <f aca="false">'Qté 2027'!V46*$C46</f>
        <v>4.25</v>
      </c>
      <c r="W46" s="23" t="n">
        <f aca="false">'Qté 2027'!W46*$C46</f>
        <v>8.5</v>
      </c>
      <c r="X46" s="23" t="n">
        <f aca="false">'Qté 2027'!X46*$C46</f>
        <v>4.25</v>
      </c>
      <c r="Y46" s="23" t="n">
        <f aca="false">'Qté 2027'!Y46*$C46</f>
        <v>4.25</v>
      </c>
      <c r="Z46" s="23" t="n">
        <f aca="false">'Qté 2027'!Z46*$C46</f>
        <v>11.25</v>
      </c>
      <c r="AA46" s="23" t="n">
        <f aca="false">'Qté 2027'!AA46*$C46</f>
        <v>10</v>
      </c>
      <c r="AB46" s="23" t="n">
        <f aca="false">'Qté 2027'!AB46*$C46</f>
        <v>2.75</v>
      </c>
      <c r="AC46" s="23" t="n">
        <f aca="false">'Qté 2027'!AC46*$C46</f>
        <v>0</v>
      </c>
      <c r="AD46" s="23" t="n">
        <f aca="false">'Qté 2027'!AD46*$C46</f>
        <v>0</v>
      </c>
      <c r="AE46" s="23" t="n">
        <f aca="false">'Qté 2027'!AE46*$C46</f>
        <v>8.25</v>
      </c>
      <c r="AF46" s="23" t="n">
        <f aca="false">'Qté 2027'!AF46*$C46</f>
        <v>22.75</v>
      </c>
      <c r="AG46" s="23" t="n">
        <f aca="false">'Qté 2027'!AG46*$C46</f>
        <v>25</v>
      </c>
      <c r="AH46" s="23" t="n">
        <f aca="false">'Qté 2027'!AH46*$C46</f>
        <v>22.75</v>
      </c>
      <c r="AI46" s="23" t="n">
        <f aca="false">'Qté 2027'!AI46*$C46</f>
        <v>33.25</v>
      </c>
      <c r="AJ46" s="23" t="n">
        <f aca="false">'Qté 2027'!AJ46*$C46</f>
        <v>33.25</v>
      </c>
      <c r="AK46" s="23" t="n">
        <f aca="false">'Qté 2027'!AK46*$C46</f>
        <v>20.75</v>
      </c>
      <c r="AL46" s="23" t="n">
        <f aca="false">'Qté 2027'!AL46*$C46</f>
        <v>22.75</v>
      </c>
      <c r="AM46" s="23" t="n">
        <f aca="false">'Qté 2027'!AM46*$C46</f>
        <v>20.75</v>
      </c>
      <c r="AN46" s="23" t="n">
        <f aca="false">'Qté 2027'!AN46*$C46</f>
        <v>6.25</v>
      </c>
      <c r="AO46" s="23" t="n">
        <f aca="false">'Qté 2027'!AO46*$C46</f>
        <v>2</v>
      </c>
      <c r="AP46" s="23" t="n">
        <f aca="false">'Qté 2027'!AP46*$C46</f>
        <v>4.25</v>
      </c>
      <c r="AQ46" s="23" t="n">
        <f aca="false">'Qté 2027'!AQ46*$C46</f>
        <v>2</v>
      </c>
      <c r="AR46" s="23" t="n">
        <f aca="false">'Qté 2027'!AR46*$C46</f>
        <v>0</v>
      </c>
      <c r="AS46" s="23" t="n">
        <f aca="false">'Qté 2027'!AS46*$C46</f>
        <v>2</v>
      </c>
      <c r="AT46" s="23" t="n">
        <f aca="false">'Qté 2027'!AT46*$C46</f>
        <v>4.25</v>
      </c>
      <c r="AU46" s="23" t="n">
        <f aca="false">'Qté 2027'!AU46*$C46</f>
        <v>2</v>
      </c>
      <c r="AV46" s="23" t="n">
        <f aca="false">'Qté 2027'!AV46*$C46</f>
        <v>0</v>
      </c>
      <c r="AW46" s="23" t="n">
        <f aca="false">'Qté 2027'!AW46*$C46</f>
        <v>0</v>
      </c>
      <c r="AX46" s="23" t="n">
        <f aca="false">'Qté 2027'!AX46*$C46</f>
        <v>0</v>
      </c>
      <c r="AY46" s="23" t="n">
        <f aca="false">'Qté 2027'!AY46*$C46</f>
        <v>0</v>
      </c>
      <c r="AZ46" s="23" t="n">
        <f aca="false">'Qté 2027'!AZ46*$C46</f>
        <v>0</v>
      </c>
      <c r="BA46" s="23" t="n">
        <f aca="false">'Qté 2027'!BA46*$C46</f>
        <v>0</v>
      </c>
      <c r="BB46" s="23" t="n">
        <f aca="false">'Qté 2027'!BB46*$C46</f>
        <v>0</v>
      </c>
      <c r="BC46" s="23" t="n">
        <f aca="false">'Qté 2027'!BC46*$C46</f>
        <v>0</v>
      </c>
      <c r="BD46" s="15" t="n">
        <f aca="false">SUM(D46:BC46)</f>
        <v>277.5</v>
      </c>
    </row>
    <row r="47" customFormat="false" ht="15" hidden="false" customHeight="false" outlineLevel="0" collapsed="false">
      <c r="A47" s="5" t="s">
        <v>222</v>
      </c>
      <c r="B47" s="5" t="s">
        <v>62</v>
      </c>
      <c r="C47" s="22" t="n">
        <v>45.97</v>
      </c>
      <c r="D47" s="23" t="n">
        <f aca="false">'Qté 2027'!D47*$C47</f>
        <v>0</v>
      </c>
      <c r="E47" s="23" t="n">
        <f aca="false">'Qté 2027'!E47*$C47</f>
        <v>0</v>
      </c>
      <c r="F47" s="23" t="n">
        <f aca="false">'Qté 2027'!F47*$C47</f>
        <v>0</v>
      </c>
      <c r="G47" s="23" t="n">
        <f aca="false">'Qté 2027'!G47*$C47</f>
        <v>0</v>
      </c>
      <c r="H47" s="23" t="n">
        <f aca="false">'Qté 2027'!H47*$C47</f>
        <v>0</v>
      </c>
      <c r="I47" s="23" t="n">
        <f aca="false">'Qté 2027'!I47*$C47</f>
        <v>0</v>
      </c>
      <c r="J47" s="23" t="n">
        <f aca="false">'Qté 2027'!J47*$C47</f>
        <v>0</v>
      </c>
      <c r="K47" s="23" t="n">
        <f aca="false">'Qté 2027'!K47*$C47</f>
        <v>0</v>
      </c>
      <c r="L47" s="23" t="n">
        <f aca="false">'Qté 2027'!L47*$C47</f>
        <v>0</v>
      </c>
      <c r="M47" s="23" t="n">
        <f aca="false">'Qté 2027'!M47*$C47</f>
        <v>0</v>
      </c>
      <c r="N47" s="23" t="n">
        <f aca="false">'Qté 2027'!N47*$C47</f>
        <v>3.6776</v>
      </c>
      <c r="O47" s="23" t="n">
        <f aca="false">'Qté 2027'!O47*$C47</f>
        <v>7.3552</v>
      </c>
      <c r="P47" s="23" t="n">
        <f aca="false">'Qté 2027'!P47*$C47</f>
        <v>3.6776</v>
      </c>
      <c r="Q47" s="23" t="n">
        <f aca="false">'Qté 2027'!Q47*$C47</f>
        <v>0</v>
      </c>
      <c r="R47" s="23" t="n">
        <f aca="false">'Qté 2027'!R47*$C47</f>
        <v>0</v>
      </c>
      <c r="S47" s="23" t="n">
        <f aca="false">'Qté 2027'!S47*$C47</f>
        <v>0</v>
      </c>
      <c r="T47" s="23" t="n">
        <f aca="false">'Qté 2027'!T47*$C47</f>
        <v>0</v>
      </c>
      <c r="U47" s="23" t="n">
        <f aca="false">'Qté 2027'!U47*$C47</f>
        <v>7.8149</v>
      </c>
      <c r="V47" s="23" t="n">
        <f aca="false">'Qté 2027'!V47*$C47</f>
        <v>19.3074</v>
      </c>
      <c r="W47" s="23" t="n">
        <f aca="false">'Qté 2027'!W47*$C47</f>
        <v>21.6059</v>
      </c>
      <c r="X47" s="23" t="n">
        <f aca="false">'Qté 2027'!X47*$C47</f>
        <v>18.388</v>
      </c>
      <c r="Y47" s="23" t="n">
        <f aca="false">'Qté 2027'!Y47*$C47</f>
        <v>9.6537</v>
      </c>
      <c r="Z47" s="23" t="n">
        <f aca="false">'Qté 2027'!Z47*$C47</f>
        <v>3.2179</v>
      </c>
      <c r="AA47" s="23" t="n">
        <f aca="false">'Qté 2027'!AA47*$C47</f>
        <v>8.2746</v>
      </c>
      <c r="AB47" s="23" t="n">
        <f aca="false">'Qté 2027'!AB47*$C47</f>
        <v>15.6298</v>
      </c>
      <c r="AC47" s="23" t="n">
        <f aca="false">'Qté 2027'!AC47*$C47</f>
        <v>12.8716</v>
      </c>
      <c r="AD47" s="23" t="n">
        <f aca="false">'Qté 2027'!AD47*$C47</f>
        <v>12.4119</v>
      </c>
      <c r="AE47" s="23" t="n">
        <f aca="false">'Qté 2027'!AE47*$C47</f>
        <v>22.5253</v>
      </c>
      <c r="AF47" s="23" t="n">
        <f aca="false">'Qté 2027'!AF47*$C47</f>
        <v>29.4208</v>
      </c>
      <c r="AG47" s="23" t="n">
        <f aca="false">'Qté 2027'!AG47*$C47</f>
        <v>22.0656</v>
      </c>
      <c r="AH47" s="23" t="n">
        <f aca="false">'Qté 2027'!AH47*$C47</f>
        <v>11.4925</v>
      </c>
      <c r="AI47" s="23" t="n">
        <f aca="false">'Qté 2027'!AI47*$C47</f>
        <v>3.6776</v>
      </c>
      <c r="AJ47" s="23" t="n">
        <f aca="false">'Qté 2027'!AJ47*$C47</f>
        <v>0</v>
      </c>
      <c r="AK47" s="23" t="n">
        <f aca="false">'Qté 2027'!AK47*$C47</f>
        <v>1.3791</v>
      </c>
      <c r="AL47" s="23" t="n">
        <f aca="false">'Qté 2027'!AL47*$C47</f>
        <v>8.2746</v>
      </c>
      <c r="AM47" s="23" t="n">
        <f aca="false">'Qté 2027'!AM47*$C47</f>
        <v>16.0895</v>
      </c>
      <c r="AN47" s="23" t="n">
        <f aca="false">'Qté 2027'!AN47*$C47</f>
        <v>12.8716</v>
      </c>
      <c r="AO47" s="23" t="n">
        <f aca="false">'Qté 2027'!AO47*$C47</f>
        <v>3.6776</v>
      </c>
      <c r="AP47" s="23" t="n">
        <f aca="false">'Qté 2027'!AP47*$C47</f>
        <v>0</v>
      </c>
      <c r="AQ47" s="23" t="n">
        <f aca="false">'Qté 2027'!AQ47*$C47</f>
        <v>0</v>
      </c>
      <c r="AR47" s="23" t="n">
        <f aca="false">'Qté 2027'!AR47*$C47</f>
        <v>0</v>
      </c>
      <c r="AS47" s="23" t="n">
        <f aca="false">'Qté 2027'!AS47*$C47</f>
        <v>0</v>
      </c>
      <c r="AT47" s="23" t="n">
        <f aca="false">'Qté 2027'!AT47*$C47</f>
        <v>0</v>
      </c>
      <c r="AU47" s="23" t="n">
        <f aca="false">'Qté 2027'!AU47*$C47</f>
        <v>0</v>
      </c>
      <c r="AV47" s="23" t="n">
        <f aca="false">'Qté 2027'!AV47*$C47</f>
        <v>0</v>
      </c>
      <c r="AW47" s="23" t="n">
        <f aca="false">'Qté 2027'!AW47*$C47</f>
        <v>0</v>
      </c>
      <c r="AX47" s="23" t="n">
        <f aca="false">'Qté 2027'!AX47*$C47</f>
        <v>0</v>
      </c>
      <c r="AY47" s="23" t="n">
        <f aca="false">'Qté 2027'!AY47*$C47</f>
        <v>0</v>
      </c>
      <c r="AZ47" s="23" t="n">
        <f aca="false">'Qté 2027'!AZ47*$C47</f>
        <v>0</v>
      </c>
      <c r="BA47" s="23" t="n">
        <f aca="false">'Qté 2027'!BA47*$C47</f>
        <v>0</v>
      </c>
      <c r="BB47" s="23" t="n">
        <f aca="false">'Qté 2027'!BB47*$C47</f>
        <v>0</v>
      </c>
      <c r="BC47" s="23" t="n">
        <f aca="false">'Qté 2027'!BC47*$C47</f>
        <v>0</v>
      </c>
      <c r="BD47" s="15" t="n">
        <f aca="false">SUM(D47:BC47)</f>
        <v>275.3603</v>
      </c>
    </row>
    <row r="48" customFormat="false" ht="15" hidden="false" customHeight="false" outlineLevel="0" collapsed="false">
      <c r="A48" s="5" t="s">
        <v>223</v>
      </c>
      <c r="B48" s="5" t="s">
        <v>45</v>
      </c>
      <c r="C48" s="22" t="n">
        <v>56.4</v>
      </c>
      <c r="D48" s="23" t="n">
        <f aca="false">'Qté 2027'!D48*$C48</f>
        <v>0</v>
      </c>
      <c r="E48" s="23" t="n">
        <f aca="false">'Qté 2027'!E48*$C48</f>
        <v>0</v>
      </c>
      <c r="F48" s="23" t="n">
        <f aca="false">'Qté 2027'!F48*$C48</f>
        <v>0</v>
      </c>
      <c r="G48" s="23" t="n">
        <f aca="false">'Qté 2027'!G48*$C48</f>
        <v>0</v>
      </c>
      <c r="H48" s="23" t="n">
        <f aca="false">'Qté 2027'!H48*$C48</f>
        <v>0</v>
      </c>
      <c r="I48" s="23" t="n">
        <f aca="false">'Qté 2027'!I48*$C48</f>
        <v>0</v>
      </c>
      <c r="J48" s="23" t="n">
        <f aca="false">'Qté 2027'!J48*$C48</f>
        <v>0</v>
      </c>
      <c r="K48" s="23" t="n">
        <f aca="false">'Qté 2027'!K48*$C48</f>
        <v>0</v>
      </c>
      <c r="L48" s="23" t="n">
        <f aca="false">'Qté 2027'!L48*$C48</f>
        <v>0</v>
      </c>
      <c r="M48" s="23" t="n">
        <f aca="false">'Qté 2027'!M48*$C48</f>
        <v>0</v>
      </c>
      <c r="N48" s="23" t="n">
        <f aca="false">'Qté 2027'!N48*$C48</f>
        <v>0</v>
      </c>
      <c r="O48" s="23" t="n">
        <f aca="false">'Qté 2027'!O48*$C48</f>
        <v>0</v>
      </c>
      <c r="P48" s="23" t="n">
        <f aca="false">'Qté 2027'!P48*$C48</f>
        <v>0</v>
      </c>
      <c r="Q48" s="23" t="n">
        <f aca="false">'Qté 2027'!Q48*$C48</f>
        <v>0</v>
      </c>
      <c r="R48" s="23" t="n">
        <f aca="false">'Qté 2027'!R48*$C48</f>
        <v>0</v>
      </c>
      <c r="S48" s="23" t="n">
        <f aca="false">'Qté 2027'!S48*$C48</f>
        <v>3.384</v>
      </c>
      <c r="T48" s="23" t="n">
        <f aca="false">'Qté 2027'!T48*$C48</f>
        <v>6.204</v>
      </c>
      <c r="U48" s="23" t="n">
        <f aca="false">'Qté 2027'!U48*$C48</f>
        <v>6.204</v>
      </c>
      <c r="V48" s="23" t="n">
        <f aca="false">'Qté 2027'!V48*$C48</f>
        <v>6.204</v>
      </c>
      <c r="W48" s="23" t="n">
        <f aca="false">'Qté 2027'!W48*$C48</f>
        <v>7.896</v>
      </c>
      <c r="X48" s="23" t="n">
        <f aca="false">'Qté 2027'!X48*$C48</f>
        <v>9.024</v>
      </c>
      <c r="Y48" s="23" t="n">
        <f aca="false">'Qté 2027'!Y48*$C48</f>
        <v>9.024</v>
      </c>
      <c r="Z48" s="23" t="n">
        <f aca="false">'Qté 2027'!Z48*$C48</f>
        <v>16.356</v>
      </c>
      <c r="AA48" s="23" t="n">
        <f aca="false">'Qté 2027'!AA48*$C48</f>
        <v>19.74</v>
      </c>
      <c r="AB48" s="23" t="n">
        <f aca="false">'Qté 2027'!AB48*$C48</f>
        <v>10.716</v>
      </c>
      <c r="AC48" s="23" t="n">
        <f aca="false">'Qté 2027'!AC48*$C48</f>
        <v>10.716</v>
      </c>
      <c r="AD48" s="23" t="n">
        <f aca="false">'Qté 2027'!AD48*$C48</f>
        <v>11.844</v>
      </c>
      <c r="AE48" s="23" t="n">
        <f aca="false">'Qté 2027'!AE48*$C48</f>
        <v>14.1</v>
      </c>
      <c r="AF48" s="23" t="n">
        <f aca="false">'Qté 2027'!AF48*$C48</f>
        <v>18.612</v>
      </c>
      <c r="AG48" s="23" t="n">
        <f aca="false">'Qté 2027'!AG48*$C48</f>
        <v>25.38</v>
      </c>
      <c r="AH48" s="23" t="n">
        <f aca="false">'Qté 2027'!AH48*$C48</f>
        <v>31.584</v>
      </c>
      <c r="AI48" s="23" t="n">
        <f aca="false">'Qté 2027'!AI48*$C48</f>
        <v>22.56</v>
      </c>
      <c r="AJ48" s="23" t="n">
        <f aca="false">'Qté 2027'!AJ48*$C48</f>
        <v>12.972</v>
      </c>
      <c r="AK48" s="23" t="n">
        <f aca="false">'Qté 2027'!AK48*$C48</f>
        <v>6.768</v>
      </c>
      <c r="AL48" s="23" t="n">
        <f aca="false">'Qté 2027'!AL48*$C48</f>
        <v>0</v>
      </c>
      <c r="AM48" s="23" t="n">
        <f aca="false">'Qté 2027'!AM48*$C48</f>
        <v>0</v>
      </c>
      <c r="AN48" s="23" t="n">
        <f aca="false">'Qté 2027'!AN48*$C48</f>
        <v>0</v>
      </c>
      <c r="AO48" s="23" t="n">
        <f aca="false">'Qté 2027'!AO48*$C48</f>
        <v>0</v>
      </c>
      <c r="AP48" s="23" t="n">
        <f aca="false">'Qté 2027'!AP48*$C48</f>
        <v>0</v>
      </c>
      <c r="AQ48" s="23" t="n">
        <f aca="false">'Qté 2027'!AQ48*$C48</f>
        <v>0</v>
      </c>
      <c r="AR48" s="23" t="n">
        <f aca="false">'Qté 2027'!AR48*$C48</f>
        <v>4.512</v>
      </c>
      <c r="AS48" s="23" t="n">
        <f aca="false">'Qté 2027'!AS48*$C48</f>
        <v>9.588</v>
      </c>
      <c r="AT48" s="23" t="n">
        <f aca="false">'Qté 2027'!AT48*$C48</f>
        <v>4.512</v>
      </c>
      <c r="AU48" s="23" t="n">
        <f aca="false">'Qté 2027'!AU48*$C48</f>
        <v>0</v>
      </c>
      <c r="AV48" s="23" t="n">
        <f aca="false">'Qté 2027'!AV48*$C48</f>
        <v>0</v>
      </c>
      <c r="AW48" s="23" t="n">
        <f aca="false">'Qté 2027'!AW48*$C48</f>
        <v>0</v>
      </c>
      <c r="AX48" s="23" t="n">
        <f aca="false">'Qté 2027'!AX48*$C48</f>
        <v>0</v>
      </c>
      <c r="AY48" s="23" t="n">
        <f aca="false">'Qté 2027'!AY48*$C48</f>
        <v>0</v>
      </c>
      <c r="AZ48" s="23" t="n">
        <f aca="false">'Qté 2027'!AZ48*$C48</f>
        <v>0</v>
      </c>
      <c r="BA48" s="23" t="n">
        <f aca="false">'Qté 2027'!BA48*$C48</f>
        <v>0</v>
      </c>
      <c r="BB48" s="23" t="n">
        <f aca="false">'Qté 2027'!BB48*$C48</f>
        <v>0</v>
      </c>
      <c r="BC48" s="23" t="n">
        <f aca="false">'Qté 2027'!BC48*$C48</f>
        <v>0</v>
      </c>
      <c r="BD48" s="15" t="n">
        <f aca="false">SUM(D48:BC48)</f>
        <v>267.9</v>
      </c>
    </row>
    <row r="49" customFormat="false" ht="15" hidden="false" customHeight="false" outlineLevel="0" collapsed="false">
      <c r="A49" s="5" t="s">
        <v>224</v>
      </c>
      <c r="B49" s="5" t="s">
        <v>57</v>
      </c>
      <c r="C49" s="22" t="n">
        <v>158.4</v>
      </c>
      <c r="D49" s="23" t="n">
        <f aca="false">'Qté 2027'!D49*$C49</f>
        <v>0</v>
      </c>
      <c r="E49" s="23" t="n">
        <f aca="false">'Qté 2027'!E49*$C49</f>
        <v>0</v>
      </c>
      <c r="F49" s="23" t="n">
        <f aca="false">'Qté 2027'!F49*$C49</f>
        <v>0</v>
      </c>
      <c r="G49" s="23" t="n">
        <f aca="false">'Qté 2027'!G49*$C49</f>
        <v>0</v>
      </c>
      <c r="H49" s="23" t="n">
        <f aca="false">'Qté 2027'!H49*$C49</f>
        <v>0</v>
      </c>
      <c r="I49" s="23" t="n">
        <f aca="false">'Qté 2027'!I49*$C49</f>
        <v>0</v>
      </c>
      <c r="J49" s="23" t="n">
        <f aca="false">'Qté 2027'!J49*$C49</f>
        <v>0</v>
      </c>
      <c r="K49" s="23" t="n">
        <f aca="false">'Qté 2027'!K49*$C49</f>
        <v>0</v>
      </c>
      <c r="L49" s="23" t="n">
        <f aca="false">'Qté 2027'!L49*$C49</f>
        <v>0</v>
      </c>
      <c r="M49" s="23" t="n">
        <f aca="false">'Qté 2027'!M49*$C49</f>
        <v>0</v>
      </c>
      <c r="N49" s="23" t="n">
        <f aca="false">'Qté 2027'!N49*$C49</f>
        <v>0</v>
      </c>
      <c r="O49" s="23" t="n">
        <f aca="false">'Qté 2027'!O49*$C49</f>
        <v>0</v>
      </c>
      <c r="P49" s="23" t="n">
        <f aca="false">'Qté 2027'!P49*$C49</f>
        <v>0</v>
      </c>
      <c r="Q49" s="23" t="n">
        <f aca="false">'Qté 2027'!Q49*$C49</f>
        <v>0</v>
      </c>
      <c r="R49" s="23" t="n">
        <f aca="false">'Qté 2027'!R49*$C49</f>
        <v>0</v>
      </c>
      <c r="S49" s="23" t="n">
        <f aca="false">'Qté 2027'!S49*$C49</f>
        <v>0</v>
      </c>
      <c r="T49" s="23" t="n">
        <f aca="false">'Qté 2027'!T49*$C49</f>
        <v>0</v>
      </c>
      <c r="U49" s="23" t="n">
        <f aca="false">'Qté 2027'!U49*$C49</f>
        <v>0</v>
      </c>
      <c r="V49" s="23" t="n">
        <f aca="false">'Qté 2027'!V49*$C49</f>
        <v>0</v>
      </c>
      <c r="W49" s="23" t="n">
        <f aca="false">'Qté 2027'!W49*$C49</f>
        <v>0</v>
      </c>
      <c r="X49" s="23" t="n">
        <f aca="false">'Qté 2027'!X49*$C49</f>
        <v>0</v>
      </c>
      <c r="Y49" s="23" t="n">
        <f aca="false">'Qté 2027'!Y49*$C49</f>
        <v>0</v>
      </c>
      <c r="Z49" s="23" t="n">
        <f aca="false">'Qté 2027'!Z49*$C49</f>
        <v>0</v>
      </c>
      <c r="AA49" s="23" t="n">
        <f aca="false">'Qté 2027'!AA49*$C49</f>
        <v>12.672</v>
      </c>
      <c r="AB49" s="23" t="n">
        <f aca="false">'Qté 2027'!AB49*$C49</f>
        <v>25.344</v>
      </c>
      <c r="AC49" s="23" t="n">
        <f aca="false">'Qté 2027'!AC49*$C49</f>
        <v>39.6</v>
      </c>
      <c r="AD49" s="23" t="n">
        <f aca="false">'Qté 2027'!AD49*$C49</f>
        <v>68.112</v>
      </c>
      <c r="AE49" s="23" t="n">
        <f aca="false">'Qté 2027'!AE49*$C49</f>
        <v>55.44</v>
      </c>
      <c r="AF49" s="23" t="n">
        <f aca="false">'Qté 2027'!AF49*$C49</f>
        <v>26.928</v>
      </c>
      <c r="AG49" s="23" t="n">
        <f aca="false">'Qté 2027'!AG49*$C49</f>
        <v>26.928</v>
      </c>
      <c r="AH49" s="23" t="n">
        <f aca="false">'Qté 2027'!AH49*$C49</f>
        <v>12.672</v>
      </c>
      <c r="AI49" s="23" t="n">
        <f aca="false">'Qté 2027'!AI49*$C49</f>
        <v>0</v>
      </c>
      <c r="AJ49" s="23" t="n">
        <f aca="false">'Qté 2027'!AJ49*$C49</f>
        <v>0</v>
      </c>
      <c r="AK49" s="23" t="n">
        <f aca="false">'Qté 2027'!AK49*$C49</f>
        <v>0</v>
      </c>
      <c r="AL49" s="23" t="n">
        <f aca="false">'Qté 2027'!AL49*$C49</f>
        <v>0</v>
      </c>
      <c r="AM49" s="23" t="n">
        <f aca="false">'Qté 2027'!AM49*$C49</f>
        <v>0</v>
      </c>
      <c r="AN49" s="23" t="n">
        <f aca="false">'Qté 2027'!AN49*$C49</f>
        <v>0</v>
      </c>
      <c r="AO49" s="23" t="n">
        <f aca="false">'Qté 2027'!AO49*$C49</f>
        <v>0</v>
      </c>
      <c r="AP49" s="23" t="n">
        <f aca="false">'Qté 2027'!AP49*$C49</f>
        <v>0</v>
      </c>
      <c r="AQ49" s="23" t="n">
        <f aca="false">'Qté 2027'!AQ49*$C49</f>
        <v>0</v>
      </c>
      <c r="AR49" s="23" t="n">
        <f aca="false">'Qté 2027'!AR49*$C49</f>
        <v>0</v>
      </c>
      <c r="AS49" s="23" t="n">
        <f aca="false">'Qté 2027'!AS49*$C49</f>
        <v>0</v>
      </c>
      <c r="AT49" s="23" t="n">
        <f aca="false">'Qté 2027'!AT49*$C49</f>
        <v>0</v>
      </c>
      <c r="AU49" s="23" t="n">
        <f aca="false">'Qté 2027'!AU49*$C49</f>
        <v>0</v>
      </c>
      <c r="AV49" s="23" t="n">
        <f aca="false">'Qté 2027'!AV49*$C49</f>
        <v>0</v>
      </c>
      <c r="AW49" s="23" t="n">
        <f aca="false">'Qté 2027'!AW49*$C49</f>
        <v>0</v>
      </c>
      <c r="AX49" s="23" t="n">
        <f aca="false">'Qté 2027'!AX49*$C49</f>
        <v>0</v>
      </c>
      <c r="AY49" s="23" t="n">
        <f aca="false">'Qté 2027'!AY49*$C49</f>
        <v>0</v>
      </c>
      <c r="AZ49" s="23" t="n">
        <f aca="false">'Qté 2027'!AZ49*$C49</f>
        <v>0</v>
      </c>
      <c r="BA49" s="23" t="n">
        <f aca="false">'Qté 2027'!BA49*$C49</f>
        <v>0</v>
      </c>
      <c r="BB49" s="23" t="n">
        <f aca="false">'Qté 2027'!BB49*$C49</f>
        <v>0</v>
      </c>
      <c r="BC49" s="23" t="n">
        <f aca="false">'Qté 2027'!BC49*$C49</f>
        <v>0</v>
      </c>
      <c r="BD49" s="15" t="n">
        <f aca="false">SUM(D49:BC49)</f>
        <v>267.696</v>
      </c>
    </row>
    <row r="50" customFormat="false" ht="15" hidden="false" customHeight="false" outlineLevel="0" collapsed="false">
      <c r="A50" s="5" t="s">
        <v>225</v>
      </c>
      <c r="B50" s="5" t="s">
        <v>45</v>
      </c>
      <c r="C50" s="22" t="n">
        <v>10.8</v>
      </c>
      <c r="D50" s="23" t="n">
        <f aca="false">'Qté 2027'!D50*$C50</f>
        <v>0</v>
      </c>
      <c r="E50" s="23" t="n">
        <f aca="false">'Qté 2027'!E50*$C50</f>
        <v>0</v>
      </c>
      <c r="F50" s="23" t="n">
        <f aca="false">'Qté 2027'!F50*$C50</f>
        <v>0</v>
      </c>
      <c r="G50" s="23" t="n">
        <f aca="false">'Qté 2027'!G50*$C50</f>
        <v>0</v>
      </c>
      <c r="H50" s="23" t="n">
        <f aca="false">'Qté 2027'!H50*$C50</f>
        <v>0</v>
      </c>
      <c r="I50" s="23" t="n">
        <f aca="false">'Qté 2027'!I50*$C50</f>
        <v>0</v>
      </c>
      <c r="J50" s="23" t="n">
        <f aca="false">'Qté 2027'!J50*$C50</f>
        <v>0</v>
      </c>
      <c r="K50" s="23" t="n">
        <f aca="false">'Qté 2027'!K50*$C50</f>
        <v>0</v>
      </c>
      <c r="L50" s="23" t="n">
        <f aca="false">'Qté 2027'!L50*$C50</f>
        <v>0</v>
      </c>
      <c r="M50" s="23" t="n">
        <f aca="false">'Qté 2027'!M50*$C50</f>
        <v>0</v>
      </c>
      <c r="N50" s="23" t="n">
        <f aca="false">'Qté 2027'!N50*$C50</f>
        <v>0.648</v>
      </c>
      <c r="O50" s="23" t="n">
        <f aca="false">'Qté 2027'!O50*$C50</f>
        <v>1.188</v>
      </c>
      <c r="P50" s="23" t="n">
        <f aca="false">'Qté 2027'!P50*$C50</f>
        <v>0.648</v>
      </c>
      <c r="Q50" s="23" t="n">
        <f aca="false">'Qté 2027'!Q50*$C50</f>
        <v>0</v>
      </c>
      <c r="R50" s="23" t="n">
        <f aca="false">'Qté 2027'!R50*$C50</f>
        <v>0.648</v>
      </c>
      <c r="S50" s="23" t="n">
        <f aca="false">'Qté 2027'!S50*$C50</f>
        <v>1.188</v>
      </c>
      <c r="T50" s="23" t="n">
        <f aca="false">'Qté 2027'!T50*$C50</f>
        <v>2.7</v>
      </c>
      <c r="U50" s="23" t="n">
        <f aca="false">'Qté 2027'!U50*$C50</f>
        <v>5.832</v>
      </c>
      <c r="V50" s="23" t="n">
        <f aca="false">'Qté 2027'!V50*$C50</f>
        <v>6.588</v>
      </c>
      <c r="W50" s="23" t="n">
        <f aca="false">'Qté 2027'!W50*$C50</f>
        <v>4.536</v>
      </c>
      <c r="X50" s="23" t="n">
        <f aca="false">'Qté 2027'!X50*$C50</f>
        <v>5.94</v>
      </c>
      <c r="Y50" s="23" t="n">
        <f aca="false">'Qté 2027'!Y50*$C50</f>
        <v>10.26</v>
      </c>
      <c r="Z50" s="23" t="n">
        <f aca="false">'Qté 2027'!Z50*$C50</f>
        <v>18.036</v>
      </c>
      <c r="AA50" s="23" t="n">
        <f aca="false">'Qté 2027'!AA50*$C50</f>
        <v>27.648</v>
      </c>
      <c r="AB50" s="23" t="n">
        <f aca="false">'Qté 2027'!AB50*$C50</f>
        <v>27.324</v>
      </c>
      <c r="AC50" s="23" t="n">
        <f aca="false">'Qté 2027'!AC50*$C50</f>
        <v>24.084</v>
      </c>
      <c r="AD50" s="23" t="n">
        <f aca="false">'Qté 2027'!AD50*$C50</f>
        <v>22.572</v>
      </c>
      <c r="AE50" s="23" t="n">
        <f aca="false">'Qté 2027'!AE50*$C50</f>
        <v>22.14</v>
      </c>
      <c r="AF50" s="23" t="n">
        <f aca="false">'Qté 2027'!AF50*$C50</f>
        <v>21.168</v>
      </c>
      <c r="AG50" s="23" t="n">
        <f aca="false">'Qté 2027'!AG50*$C50</f>
        <v>11.988</v>
      </c>
      <c r="AH50" s="23" t="n">
        <f aca="false">'Qté 2027'!AH50*$C50</f>
        <v>9.288</v>
      </c>
      <c r="AI50" s="23" t="n">
        <f aca="false">'Qté 2027'!AI50*$C50</f>
        <v>13.068</v>
      </c>
      <c r="AJ50" s="23" t="n">
        <f aca="false">'Qté 2027'!AJ50*$C50</f>
        <v>7.668</v>
      </c>
      <c r="AK50" s="23" t="n">
        <f aca="false">'Qté 2027'!AK50*$C50</f>
        <v>1.62</v>
      </c>
      <c r="AL50" s="23" t="n">
        <f aca="false">'Qté 2027'!AL50*$C50</f>
        <v>0.756</v>
      </c>
      <c r="AM50" s="23" t="n">
        <f aca="false">'Qté 2027'!AM50*$C50</f>
        <v>0.324</v>
      </c>
      <c r="AN50" s="23" t="n">
        <f aca="false">'Qté 2027'!AN50*$C50</f>
        <v>0</v>
      </c>
      <c r="AO50" s="23" t="n">
        <f aca="false">'Qté 2027'!AO50*$C50</f>
        <v>0.54</v>
      </c>
      <c r="AP50" s="23" t="n">
        <f aca="false">'Qté 2027'!AP50*$C50</f>
        <v>1.08</v>
      </c>
      <c r="AQ50" s="23" t="n">
        <f aca="false">'Qté 2027'!AQ50*$C50</f>
        <v>1.08</v>
      </c>
      <c r="AR50" s="23" t="n">
        <f aca="false">'Qté 2027'!AR50*$C50</f>
        <v>1.08</v>
      </c>
      <c r="AS50" s="23" t="n">
        <f aca="false">'Qté 2027'!AS50*$C50</f>
        <v>1.836</v>
      </c>
      <c r="AT50" s="23" t="n">
        <f aca="false">'Qté 2027'!AT50*$C50</f>
        <v>2.916</v>
      </c>
      <c r="AU50" s="23" t="n">
        <f aca="false">'Qté 2027'!AU50*$C50</f>
        <v>1.944</v>
      </c>
      <c r="AV50" s="23" t="n">
        <f aca="false">'Qté 2027'!AV50*$C50</f>
        <v>0.324</v>
      </c>
      <c r="AW50" s="23" t="n">
        <f aca="false">'Qté 2027'!AW50*$C50</f>
        <v>0.324</v>
      </c>
      <c r="AX50" s="23" t="n">
        <f aca="false">'Qté 2027'!AX50*$C50</f>
        <v>0.756</v>
      </c>
      <c r="AY50" s="23" t="n">
        <f aca="false">'Qté 2027'!AY50*$C50</f>
        <v>0.324</v>
      </c>
      <c r="AZ50" s="23" t="n">
        <f aca="false">'Qté 2027'!AZ50*$C50</f>
        <v>0</v>
      </c>
      <c r="BA50" s="23" t="n">
        <f aca="false">'Qté 2027'!BA50*$C50</f>
        <v>0</v>
      </c>
      <c r="BB50" s="23" t="n">
        <f aca="false">'Qté 2027'!BB50*$C50</f>
        <v>0</v>
      </c>
      <c r="BC50" s="23" t="n">
        <f aca="false">'Qté 2027'!BC50*$C50</f>
        <v>0</v>
      </c>
      <c r="BD50" s="15" t="n">
        <f aca="false">SUM(D50:BC50)</f>
        <v>260.064</v>
      </c>
    </row>
    <row r="51" customFormat="false" ht="15" hidden="false" customHeight="false" outlineLevel="0" collapsed="false">
      <c r="A51" s="5" t="s">
        <v>226</v>
      </c>
      <c r="B51" s="5" t="s">
        <v>69</v>
      </c>
      <c r="C51" s="22" t="n">
        <v>38.4</v>
      </c>
      <c r="D51" s="23" t="n">
        <f aca="false">'Qté 2027'!D51*$C51</f>
        <v>0</v>
      </c>
      <c r="E51" s="23" t="n">
        <f aca="false">'Qté 2027'!E51*$C51</f>
        <v>0</v>
      </c>
      <c r="F51" s="23" t="n">
        <f aca="false">'Qté 2027'!F51*$C51</f>
        <v>0</v>
      </c>
      <c r="G51" s="23" t="n">
        <f aca="false">'Qté 2027'!G51*$C51</f>
        <v>0</v>
      </c>
      <c r="H51" s="23" t="n">
        <f aca="false">'Qté 2027'!H51*$C51</f>
        <v>0</v>
      </c>
      <c r="I51" s="23" t="n">
        <f aca="false">'Qté 2027'!I51*$C51</f>
        <v>0</v>
      </c>
      <c r="J51" s="23" t="n">
        <f aca="false">'Qté 2027'!J51*$C51</f>
        <v>0</v>
      </c>
      <c r="K51" s="23" t="n">
        <f aca="false">'Qté 2027'!K51*$C51</f>
        <v>0</v>
      </c>
      <c r="L51" s="23" t="n">
        <f aca="false">'Qté 2027'!L51*$C51</f>
        <v>0</v>
      </c>
      <c r="M51" s="23" t="n">
        <f aca="false">'Qté 2027'!M51*$C51</f>
        <v>0</v>
      </c>
      <c r="N51" s="23" t="n">
        <f aca="false">'Qté 2027'!N51*$C51</f>
        <v>0</v>
      </c>
      <c r="O51" s="23" t="n">
        <f aca="false">'Qté 2027'!O51*$C51</f>
        <v>0</v>
      </c>
      <c r="P51" s="23" t="n">
        <f aca="false">'Qté 2027'!P51*$C51</f>
        <v>0</v>
      </c>
      <c r="Q51" s="23" t="n">
        <f aca="false">'Qté 2027'!Q51*$C51</f>
        <v>4.224</v>
      </c>
      <c r="R51" s="23" t="n">
        <f aca="false">'Qté 2027'!R51*$C51</f>
        <v>8.832</v>
      </c>
      <c r="S51" s="23" t="n">
        <f aca="false">'Qté 2027'!S51*$C51</f>
        <v>4.224</v>
      </c>
      <c r="T51" s="23" t="n">
        <f aca="false">'Qté 2027'!T51*$C51</f>
        <v>2.304</v>
      </c>
      <c r="U51" s="23" t="n">
        <f aca="false">'Qté 2027'!U51*$C51</f>
        <v>7.296</v>
      </c>
      <c r="V51" s="23" t="n">
        <f aca="false">'Qté 2027'!V51*$C51</f>
        <v>11.136</v>
      </c>
      <c r="W51" s="23" t="n">
        <f aca="false">'Qté 2027'!W51*$C51</f>
        <v>15.744</v>
      </c>
      <c r="X51" s="23" t="n">
        <f aca="false">'Qté 2027'!X51*$C51</f>
        <v>19.2</v>
      </c>
      <c r="Y51" s="23" t="n">
        <f aca="false">'Qté 2027'!Y51*$C51</f>
        <v>16.128</v>
      </c>
      <c r="Z51" s="23" t="n">
        <f aca="false">'Qté 2027'!Z51*$C51</f>
        <v>9.984</v>
      </c>
      <c r="AA51" s="23" t="n">
        <f aca="false">'Qté 2027'!AA51*$C51</f>
        <v>9.6</v>
      </c>
      <c r="AB51" s="23" t="n">
        <f aca="false">'Qté 2027'!AB51*$C51</f>
        <v>17.664</v>
      </c>
      <c r="AC51" s="23" t="n">
        <f aca="false">'Qté 2027'!AC51*$C51</f>
        <v>17.28</v>
      </c>
      <c r="AD51" s="23" t="n">
        <f aca="false">'Qté 2027'!AD51*$C51</f>
        <v>8.832</v>
      </c>
      <c r="AE51" s="23" t="n">
        <f aca="false">'Qté 2027'!AE51*$C51</f>
        <v>10.368</v>
      </c>
      <c r="AF51" s="23" t="n">
        <f aca="false">'Qté 2027'!AF51*$C51</f>
        <v>16.512</v>
      </c>
      <c r="AG51" s="23" t="n">
        <f aca="false">'Qté 2027'!AG51*$C51</f>
        <v>13.44</v>
      </c>
      <c r="AH51" s="23" t="n">
        <f aca="false">'Qté 2027'!AH51*$C51</f>
        <v>7.68</v>
      </c>
      <c r="AI51" s="23" t="n">
        <f aca="false">'Qté 2027'!AI51*$C51</f>
        <v>6.528</v>
      </c>
      <c r="AJ51" s="23" t="n">
        <f aca="false">'Qté 2027'!AJ51*$C51</f>
        <v>3.072</v>
      </c>
      <c r="AK51" s="23" t="n">
        <f aca="false">'Qté 2027'!AK51*$C51</f>
        <v>0</v>
      </c>
      <c r="AL51" s="23" t="n">
        <f aca="false">'Qté 2027'!AL51*$C51</f>
        <v>7.68</v>
      </c>
      <c r="AM51" s="23" t="n">
        <f aca="false">'Qté 2027'!AM51*$C51</f>
        <v>15.36</v>
      </c>
      <c r="AN51" s="23" t="n">
        <f aca="false">'Qté 2027'!AN51*$C51</f>
        <v>7.68</v>
      </c>
      <c r="AO51" s="23" t="n">
        <f aca="false">'Qté 2027'!AO51*$C51</f>
        <v>0</v>
      </c>
      <c r="AP51" s="23" t="n">
        <f aca="false">'Qté 2027'!AP51*$C51</f>
        <v>0</v>
      </c>
      <c r="AQ51" s="23" t="n">
        <f aca="false">'Qté 2027'!AQ51*$C51</f>
        <v>0</v>
      </c>
      <c r="AR51" s="23" t="n">
        <f aca="false">'Qté 2027'!AR51*$C51</f>
        <v>0</v>
      </c>
      <c r="AS51" s="23" t="n">
        <f aca="false">'Qté 2027'!AS51*$C51</f>
        <v>0</v>
      </c>
      <c r="AT51" s="23" t="n">
        <f aca="false">'Qté 2027'!AT51*$C51</f>
        <v>0</v>
      </c>
      <c r="AU51" s="23" t="n">
        <f aca="false">'Qté 2027'!AU51*$C51</f>
        <v>0</v>
      </c>
      <c r="AV51" s="23" t="n">
        <f aca="false">'Qté 2027'!AV51*$C51</f>
        <v>0</v>
      </c>
      <c r="AW51" s="23" t="n">
        <f aca="false">'Qté 2027'!AW51*$C51</f>
        <v>0</v>
      </c>
      <c r="AX51" s="23" t="n">
        <f aca="false">'Qté 2027'!AX51*$C51</f>
        <v>0</v>
      </c>
      <c r="AY51" s="23" t="n">
        <f aca="false">'Qté 2027'!AY51*$C51</f>
        <v>0</v>
      </c>
      <c r="AZ51" s="23" t="n">
        <f aca="false">'Qté 2027'!AZ51*$C51</f>
        <v>0</v>
      </c>
      <c r="BA51" s="23" t="n">
        <f aca="false">'Qté 2027'!BA51*$C51</f>
        <v>0</v>
      </c>
      <c r="BB51" s="23" t="n">
        <f aca="false">'Qté 2027'!BB51*$C51</f>
        <v>0</v>
      </c>
      <c r="BC51" s="23" t="n">
        <f aca="false">'Qté 2027'!BC51*$C51</f>
        <v>0</v>
      </c>
      <c r="BD51" s="15" t="n">
        <f aca="false">SUM(D51:BC51)</f>
        <v>240.768</v>
      </c>
    </row>
    <row r="52" customFormat="false" ht="15" hidden="false" customHeight="false" outlineLevel="0" collapsed="false">
      <c r="A52" s="5" t="s">
        <v>227</v>
      </c>
      <c r="B52" s="5" t="s">
        <v>57</v>
      </c>
      <c r="C52" s="22" t="n">
        <v>129.96</v>
      </c>
      <c r="D52" s="23" t="n">
        <f aca="false">'Qté 2027'!D52*$C52</f>
        <v>0</v>
      </c>
      <c r="E52" s="23" t="n">
        <f aca="false">'Qté 2027'!E52*$C52</f>
        <v>0</v>
      </c>
      <c r="F52" s="23" t="n">
        <f aca="false">'Qté 2027'!F52*$C52</f>
        <v>0</v>
      </c>
      <c r="G52" s="23" t="n">
        <f aca="false">'Qté 2027'!G52*$C52</f>
        <v>0</v>
      </c>
      <c r="H52" s="23" t="n">
        <f aca="false">'Qté 2027'!H52*$C52</f>
        <v>11.6964</v>
      </c>
      <c r="I52" s="23" t="n">
        <f aca="false">'Qté 2027'!I52*$C52</f>
        <v>23.3928</v>
      </c>
      <c r="J52" s="23" t="n">
        <f aca="false">'Qté 2027'!J52*$C52</f>
        <v>11.6964</v>
      </c>
      <c r="K52" s="23" t="n">
        <f aca="false">'Qté 2027'!K52*$C52</f>
        <v>0</v>
      </c>
      <c r="L52" s="23" t="n">
        <f aca="false">'Qté 2027'!L52*$C52</f>
        <v>0</v>
      </c>
      <c r="M52" s="23" t="n">
        <f aca="false">'Qté 2027'!M52*$C52</f>
        <v>0</v>
      </c>
      <c r="N52" s="23" t="n">
        <f aca="false">'Qté 2027'!N52*$C52</f>
        <v>0</v>
      </c>
      <c r="O52" s="23" t="n">
        <f aca="false">'Qté 2027'!O52*$C52</f>
        <v>0</v>
      </c>
      <c r="P52" s="23" t="n">
        <f aca="false">'Qté 2027'!P52*$C52</f>
        <v>0</v>
      </c>
      <c r="Q52" s="23" t="n">
        <f aca="false">'Qté 2027'!Q52*$C52</f>
        <v>0</v>
      </c>
      <c r="R52" s="23" t="n">
        <f aca="false">'Qté 2027'!R52*$C52</f>
        <v>0</v>
      </c>
      <c r="S52" s="23" t="n">
        <f aca="false">'Qté 2027'!S52*$C52</f>
        <v>10.3968</v>
      </c>
      <c r="T52" s="23" t="n">
        <f aca="false">'Qté 2027'!T52*$C52</f>
        <v>20.7936</v>
      </c>
      <c r="U52" s="23" t="n">
        <f aca="false">'Qté 2027'!U52*$C52</f>
        <v>12.996</v>
      </c>
      <c r="V52" s="23" t="n">
        <f aca="false">'Qté 2027'!V52*$C52</f>
        <v>6.498</v>
      </c>
      <c r="W52" s="23" t="n">
        <f aca="false">'Qté 2027'!W52*$C52</f>
        <v>2.5992</v>
      </c>
      <c r="X52" s="23" t="n">
        <f aca="false">'Qté 2027'!X52*$C52</f>
        <v>15.5952</v>
      </c>
      <c r="Y52" s="23" t="n">
        <f aca="false">'Qté 2027'!Y52*$C52</f>
        <v>32.49</v>
      </c>
      <c r="Z52" s="23" t="n">
        <f aca="false">'Qté 2027'!Z52*$C52</f>
        <v>15.5952</v>
      </c>
      <c r="AA52" s="23" t="n">
        <f aca="false">'Qté 2027'!AA52*$C52</f>
        <v>0</v>
      </c>
      <c r="AB52" s="23" t="n">
        <f aca="false">'Qté 2027'!AB52*$C52</f>
        <v>0</v>
      </c>
      <c r="AC52" s="23" t="n">
        <f aca="false">'Qté 2027'!AC52*$C52</f>
        <v>10.3968</v>
      </c>
      <c r="AD52" s="23" t="n">
        <f aca="false">'Qté 2027'!AD52*$C52</f>
        <v>27.2916</v>
      </c>
      <c r="AE52" s="23" t="n">
        <f aca="false">'Qté 2027'!AE52*$C52</f>
        <v>24.6924</v>
      </c>
      <c r="AF52" s="23" t="n">
        <f aca="false">'Qté 2027'!AF52*$C52</f>
        <v>7.7976</v>
      </c>
      <c r="AG52" s="23" t="n">
        <f aca="false">'Qté 2027'!AG52*$C52</f>
        <v>0</v>
      </c>
      <c r="AH52" s="23" t="n">
        <f aca="false">'Qté 2027'!AH52*$C52</f>
        <v>0</v>
      </c>
      <c r="AI52" s="23" t="n">
        <f aca="false">'Qté 2027'!AI52*$C52</f>
        <v>0</v>
      </c>
      <c r="AJ52" s="23" t="n">
        <f aca="false">'Qté 2027'!AJ52*$C52</f>
        <v>0</v>
      </c>
      <c r="AK52" s="23" t="n">
        <f aca="false">'Qté 2027'!AK52*$C52</f>
        <v>0</v>
      </c>
      <c r="AL52" s="23" t="n">
        <f aca="false">'Qté 2027'!AL52*$C52</f>
        <v>0</v>
      </c>
      <c r="AM52" s="23" t="n">
        <f aca="false">'Qté 2027'!AM52*$C52</f>
        <v>0</v>
      </c>
      <c r="AN52" s="23" t="n">
        <f aca="false">'Qté 2027'!AN52*$C52</f>
        <v>0</v>
      </c>
      <c r="AO52" s="23" t="n">
        <f aca="false">'Qté 2027'!AO52*$C52</f>
        <v>0</v>
      </c>
      <c r="AP52" s="23" t="n">
        <f aca="false">'Qté 2027'!AP52*$C52</f>
        <v>0</v>
      </c>
      <c r="AQ52" s="23" t="n">
        <f aca="false">'Qté 2027'!AQ52*$C52</f>
        <v>0</v>
      </c>
      <c r="AR52" s="23" t="n">
        <f aca="false">'Qté 2027'!AR52*$C52</f>
        <v>0</v>
      </c>
      <c r="AS52" s="23" t="n">
        <f aca="false">'Qté 2027'!AS52*$C52</f>
        <v>0</v>
      </c>
      <c r="AT52" s="23" t="n">
        <f aca="false">'Qté 2027'!AT52*$C52</f>
        <v>0</v>
      </c>
      <c r="AU52" s="23" t="n">
        <f aca="false">'Qté 2027'!AU52*$C52</f>
        <v>0</v>
      </c>
      <c r="AV52" s="23" t="n">
        <f aca="false">'Qté 2027'!AV52*$C52</f>
        <v>0</v>
      </c>
      <c r="AW52" s="23" t="n">
        <f aca="false">'Qté 2027'!AW52*$C52</f>
        <v>0</v>
      </c>
      <c r="AX52" s="23" t="n">
        <f aca="false">'Qté 2027'!AX52*$C52</f>
        <v>0</v>
      </c>
      <c r="AY52" s="23" t="n">
        <f aca="false">'Qté 2027'!AY52*$C52</f>
        <v>0</v>
      </c>
      <c r="AZ52" s="23" t="n">
        <f aca="false">'Qté 2027'!AZ52*$C52</f>
        <v>0</v>
      </c>
      <c r="BA52" s="23" t="n">
        <f aca="false">'Qté 2027'!BA52*$C52</f>
        <v>0</v>
      </c>
      <c r="BB52" s="23" t="n">
        <f aca="false">'Qté 2027'!BB52*$C52</f>
        <v>0</v>
      </c>
      <c r="BC52" s="23" t="n">
        <f aca="false">'Qté 2027'!BC52*$C52</f>
        <v>0</v>
      </c>
      <c r="BD52" s="15" t="n">
        <f aca="false">SUM(D52:BC52)</f>
        <v>233.928</v>
      </c>
    </row>
    <row r="53" customFormat="false" ht="15" hidden="false" customHeight="false" outlineLevel="0" collapsed="false">
      <c r="A53" s="5" t="s">
        <v>228</v>
      </c>
      <c r="B53" s="5" t="s">
        <v>69</v>
      </c>
      <c r="C53" s="22" t="n">
        <v>36.14</v>
      </c>
      <c r="D53" s="23" t="n">
        <f aca="false">'Qté 2027'!D53*$C53</f>
        <v>0</v>
      </c>
      <c r="E53" s="23" t="n">
        <f aca="false">'Qté 2027'!E53*$C53</f>
        <v>0</v>
      </c>
      <c r="F53" s="23" t="n">
        <f aca="false">'Qté 2027'!F53*$C53</f>
        <v>0</v>
      </c>
      <c r="G53" s="23" t="n">
        <f aca="false">'Qté 2027'!G53*$C53</f>
        <v>0</v>
      </c>
      <c r="H53" s="23" t="n">
        <f aca="false">'Qté 2027'!H53*$C53</f>
        <v>0</v>
      </c>
      <c r="I53" s="23" t="n">
        <f aca="false">'Qté 2027'!I53*$C53</f>
        <v>2.8912</v>
      </c>
      <c r="J53" s="23" t="n">
        <f aca="false">'Qté 2027'!J53*$C53</f>
        <v>5.7824</v>
      </c>
      <c r="K53" s="23" t="n">
        <f aca="false">'Qté 2027'!K53*$C53</f>
        <v>2.8912</v>
      </c>
      <c r="L53" s="23" t="n">
        <f aca="false">'Qté 2027'!L53*$C53</f>
        <v>0</v>
      </c>
      <c r="M53" s="23" t="n">
        <f aca="false">'Qté 2027'!M53*$C53</f>
        <v>0</v>
      </c>
      <c r="N53" s="23" t="n">
        <f aca="false">'Qté 2027'!N53*$C53</f>
        <v>0</v>
      </c>
      <c r="O53" s="23" t="n">
        <f aca="false">'Qté 2027'!O53*$C53</f>
        <v>0</v>
      </c>
      <c r="P53" s="23" t="n">
        <f aca="false">'Qté 2027'!P53*$C53</f>
        <v>1.0842</v>
      </c>
      <c r="Q53" s="23" t="n">
        <f aca="false">'Qté 2027'!Q53*$C53</f>
        <v>5.421</v>
      </c>
      <c r="R53" s="23" t="n">
        <f aca="false">'Qté 2027'!R53*$C53</f>
        <v>10.1192</v>
      </c>
      <c r="S53" s="23" t="n">
        <f aca="false">'Qté 2027'!S53*$C53</f>
        <v>16.263</v>
      </c>
      <c r="T53" s="23" t="n">
        <f aca="false">'Qté 2027'!T53*$C53</f>
        <v>16.9858</v>
      </c>
      <c r="U53" s="23" t="n">
        <f aca="false">'Qté 2027'!U53*$C53</f>
        <v>11.5648</v>
      </c>
      <c r="V53" s="23" t="n">
        <f aca="false">'Qté 2027'!V53*$C53</f>
        <v>11.9262</v>
      </c>
      <c r="W53" s="23" t="n">
        <f aca="false">'Qté 2027'!W53*$C53</f>
        <v>11.5648</v>
      </c>
      <c r="X53" s="23" t="n">
        <f aca="false">'Qté 2027'!X53*$C53</f>
        <v>9.3964</v>
      </c>
      <c r="Y53" s="23" t="n">
        <f aca="false">'Qté 2027'!Y53*$C53</f>
        <v>10.1192</v>
      </c>
      <c r="Z53" s="23" t="n">
        <f aca="false">'Qté 2027'!Z53*$C53</f>
        <v>13.3718</v>
      </c>
      <c r="AA53" s="23" t="n">
        <f aca="false">'Qté 2027'!AA53*$C53</f>
        <v>16.263</v>
      </c>
      <c r="AB53" s="23" t="n">
        <f aca="false">'Qté 2027'!AB53*$C53</f>
        <v>9.7578</v>
      </c>
      <c r="AC53" s="23" t="n">
        <f aca="false">'Qté 2027'!AC53*$C53</f>
        <v>7.5894</v>
      </c>
      <c r="AD53" s="23" t="n">
        <f aca="false">'Qté 2027'!AD53*$C53</f>
        <v>10.1192</v>
      </c>
      <c r="AE53" s="23" t="n">
        <f aca="false">'Qté 2027'!AE53*$C53</f>
        <v>9.035</v>
      </c>
      <c r="AF53" s="23" t="n">
        <f aca="false">'Qté 2027'!AF53*$C53</f>
        <v>7.9508</v>
      </c>
      <c r="AG53" s="23" t="n">
        <f aca="false">'Qté 2027'!AG53*$C53</f>
        <v>3.614</v>
      </c>
      <c r="AH53" s="23" t="n">
        <f aca="false">'Qté 2027'!AH53*$C53</f>
        <v>0</v>
      </c>
      <c r="AI53" s="23" t="n">
        <f aca="false">'Qté 2027'!AI53*$C53</f>
        <v>2.8912</v>
      </c>
      <c r="AJ53" s="23" t="n">
        <f aca="false">'Qté 2027'!AJ53*$C53</f>
        <v>7.9508</v>
      </c>
      <c r="AK53" s="23" t="n">
        <f aca="false">'Qté 2027'!AK53*$C53</f>
        <v>4.6982</v>
      </c>
      <c r="AL53" s="23" t="n">
        <f aca="false">'Qté 2027'!AL53*$C53</f>
        <v>0</v>
      </c>
      <c r="AM53" s="23" t="n">
        <f aca="false">'Qté 2027'!AM53*$C53</f>
        <v>0</v>
      </c>
      <c r="AN53" s="23" t="n">
        <f aca="false">'Qté 2027'!AN53*$C53</f>
        <v>2.8912</v>
      </c>
      <c r="AO53" s="23" t="n">
        <f aca="false">'Qté 2027'!AO53*$C53</f>
        <v>6.1438</v>
      </c>
      <c r="AP53" s="23" t="n">
        <f aca="false">'Qté 2027'!AP53*$C53</f>
        <v>2.8912</v>
      </c>
      <c r="AQ53" s="23" t="n">
        <f aca="false">'Qté 2027'!AQ53*$C53</f>
        <v>0</v>
      </c>
      <c r="AR53" s="23" t="n">
        <f aca="false">'Qté 2027'!AR53*$C53</f>
        <v>0</v>
      </c>
      <c r="AS53" s="23" t="n">
        <f aca="false">'Qté 2027'!AS53*$C53</f>
        <v>0</v>
      </c>
      <c r="AT53" s="23" t="n">
        <f aca="false">'Qté 2027'!AT53*$C53</f>
        <v>0</v>
      </c>
      <c r="AU53" s="23" t="n">
        <f aca="false">'Qté 2027'!AU53*$C53</f>
        <v>0</v>
      </c>
      <c r="AV53" s="23" t="n">
        <f aca="false">'Qté 2027'!AV53*$C53</f>
        <v>2.8912</v>
      </c>
      <c r="AW53" s="23" t="n">
        <f aca="false">'Qté 2027'!AW53*$C53</f>
        <v>6.1438</v>
      </c>
      <c r="AX53" s="23" t="n">
        <f aca="false">'Qté 2027'!AX53*$C53</f>
        <v>2.8912</v>
      </c>
      <c r="AY53" s="23" t="n">
        <f aca="false">'Qté 2027'!AY53*$C53</f>
        <v>0</v>
      </c>
      <c r="AZ53" s="23" t="n">
        <f aca="false">'Qté 2027'!AZ53*$C53</f>
        <v>0</v>
      </c>
      <c r="BA53" s="23" t="n">
        <f aca="false">'Qté 2027'!BA53*$C53</f>
        <v>0</v>
      </c>
      <c r="BB53" s="23" t="n">
        <f aca="false">'Qté 2027'!BB53*$C53</f>
        <v>0</v>
      </c>
      <c r="BC53" s="23" t="n">
        <f aca="false">'Qté 2027'!BC53*$C53</f>
        <v>0</v>
      </c>
      <c r="BD53" s="15" t="n">
        <f aca="false">SUM(D53:BC53)</f>
        <v>233.103</v>
      </c>
    </row>
    <row r="54" customFormat="false" ht="15" hidden="false" customHeight="false" outlineLevel="0" collapsed="false">
      <c r="A54" s="5" t="s">
        <v>229</v>
      </c>
      <c r="B54" s="5" t="s">
        <v>69</v>
      </c>
      <c r="C54" s="22" t="n">
        <v>43.69</v>
      </c>
      <c r="D54" s="23" t="n">
        <f aca="false">'Qté 2027'!D54*$C54</f>
        <v>0</v>
      </c>
      <c r="E54" s="23" t="n">
        <f aca="false">'Qté 2027'!E54*$C54</f>
        <v>0</v>
      </c>
      <c r="F54" s="23" t="n">
        <f aca="false">'Qté 2027'!F54*$C54</f>
        <v>0</v>
      </c>
      <c r="G54" s="23" t="n">
        <f aca="false">'Qté 2027'!G54*$C54</f>
        <v>0</v>
      </c>
      <c r="H54" s="23" t="n">
        <f aca="false">'Qté 2027'!H54*$C54</f>
        <v>0</v>
      </c>
      <c r="I54" s="23" t="n">
        <f aca="false">'Qté 2027'!I54*$C54</f>
        <v>0</v>
      </c>
      <c r="J54" s="23" t="n">
        <f aca="false">'Qté 2027'!J54*$C54</f>
        <v>0</v>
      </c>
      <c r="K54" s="23" t="n">
        <f aca="false">'Qté 2027'!K54*$C54</f>
        <v>0</v>
      </c>
      <c r="L54" s="23" t="n">
        <f aca="false">'Qté 2027'!L54*$C54</f>
        <v>0</v>
      </c>
      <c r="M54" s="23" t="n">
        <f aca="false">'Qté 2027'!M54*$C54</f>
        <v>0</v>
      </c>
      <c r="N54" s="23" t="n">
        <f aca="false">'Qté 2027'!N54*$C54</f>
        <v>0</v>
      </c>
      <c r="O54" s="23" t="n">
        <f aca="false">'Qté 2027'!O54*$C54</f>
        <v>0</v>
      </c>
      <c r="P54" s="23" t="n">
        <f aca="false">'Qté 2027'!P54*$C54</f>
        <v>0</v>
      </c>
      <c r="Q54" s="23" t="n">
        <f aca="false">'Qté 2027'!Q54*$C54</f>
        <v>0</v>
      </c>
      <c r="R54" s="23" t="n">
        <f aca="false">'Qté 2027'!R54*$C54</f>
        <v>7.8642</v>
      </c>
      <c r="S54" s="23" t="n">
        <f aca="false">'Qté 2027'!S54*$C54</f>
        <v>15.7284</v>
      </c>
      <c r="T54" s="23" t="n">
        <f aca="false">'Qté 2027'!T54*$C54</f>
        <v>11.7963</v>
      </c>
      <c r="U54" s="23" t="n">
        <f aca="false">'Qté 2027'!U54*$C54</f>
        <v>15.7284</v>
      </c>
      <c r="V54" s="23" t="n">
        <f aca="false">'Qté 2027'!V54*$C54</f>
        <v>19.6605</v>
      </c>
      <c r="W54" s="23" t="n">
        <f aca="false">'Qté 2027'!W54*$C54</f>
        <v>19.6605</v>
      </c>
      <c r="X54" s="23" t="n">
        <f aca="false">'Qté 2027'!X54*$C54</f>
        <v>47.1852</v>
      </c>
      <c r="Y54" s="23" t="n">
        <f aca="false">'Qté 2027'!Y54*$C54</f>
        <v>59.4184</v>
      </c>
      <c r="Z54" s="23" t="n">
        <f aca="false">'Qté 2027'!Z54*$C54</f>
        <v>23.5926</v>
      </c>
      <c r="AA54" s="23" t="n">
        <f aca="false">'Qté 2027'!AA54*$C54</f>
        <v>0</v>
      </c>
      <c r="AB54" s="23" t="n">
        <f aca="false">'Qté 2027'!AB54*$C54</f>
        <v>0</v>
      </c>
      <c r="AC54" s="23" t="n">
        <f aca="false">'Qté 2027'!AC54*$C54</f>
        <v>0</v>
      </c>
      <c r="AD54" s="23" t="n">
        <f aca="false">'Qté 2027'!AD54*$C54</f>
        <v>0</v>
      </c>
      <c r="AE54" s="23" t="n">
        <f aca="false">'Qté 2027'!AE54*$C54</f>
        <v>0</v>
      </c>
      <c r="AF54" s="23" t="n">
        <f aca="false">'Qté 2027'!AF54*$C54</f>
        <v>0</v>
      </c>
      <c r="AG54" s="23" t="n">
        <f aca="false">'Qté 2027'!AG54*$C54</f>
        <v>0</v>
      </c>
      <c r="AH54" s="23" t="n">
        <f aca="false">'Qté 2027'!AH54*$C54</f>
        <v>0</v>
      </c>
      <c r="AI54" s="23" t="n">
        <f aca="false">'Qté 2027'!AI54*$C54</f>
        <v>0</v>
      </c>
      <c r="AJ54" s="23" t="n">
        <f aca="false">'Qté 2027'!AJ54*$C54</f>
        <v>0</v>
      </c>
      <c r="AK54" s="23" t="n">
        <f aca="false">'Qté 2027'!AK54*$C54</f>
        <v>0</v>
      </c>
      <c r="AL54" s="23" t="n">
        <f aca="false">'Qté 2027'!AL54*$C54</f>
        <v>0</v>
      </c>
      <c r="AM54" s="23" t="n">
        <f aca="false">'Qté 2027'!AM54*$C54</f>
        <v>0</v>
      </c>
      <c r="AN54" s="23" t="n">
        <f aca="false">'Qté 2027'!AN54*$C54</f>
        <v>0</v>
      </c>
      <c r="AO54" s="23" t="n">
        <f aca="false">'Qté 2027'!AO54*$C54</f>
        <v>0</v>
      </c>
      <c r="AP54" s="23" t="n">
        <f aca="false">'Qté 2027'!AP54*$C54</f>
        <v>0</v>
      </c>
      <c r="AQ54" s="23" t="n">
        <f aca="false">'Qté 2027'!AQ54*$C54</f>
        <v>0</v>
      </c>
      <c r="AR54" s="23" t="n">
        <f aca="false">'Qté 2027'!AR54*$C54</f>
        <v>0</v>
      </c>
      <c r="AS54" s="23" t="n">
        <f aca="false">'Qté 2027'!AS54*$C54</f>
        <v>0</v>
      </c>
      <c r="AT54" s="23" t="n">
        <f aca="false">'Qté 2027'!AT54*$C54</f>
        <v>0</v>
      </c>
      <c r="AU54" s="23" t="n">
        <f aca="false">'Qté 2027'!AU54*$C54</f>
        <v>0</v>
      </c>
      <c r="AV54" s="23" t="n">
        <f aca="false">'Qté 2027'!AV54*$C54</f>
        <v>0</v>
      </c>
      <c r="AW54" s="23" t="n">
        <f aca="false">'Qté 2027'!AW54*$C54</f>
        <v>0</v>
      </c>
      <c r="AX54" s="23" t="n">
        <f aca="false">'Qté 2027'!AX54*$C54</f>
        <v>0</v>
      </c>
      <c r="AY54" s="23" t="n">
        <f aca="false">'Qté 2027'!AY54*$C54</f>
        <v>0</v>
      </c>
      <c r="AZ54" s="23" t="n">
        <f aca="false">'Qté 2027'!AZ54*$C54</f>
        <v>0</v>
      </c>
      <c r="BA54" s="23" t="n">
        <f aca="false">'Qté 2027'!BA54*$C54</f>
        <v>0</v>
      </c>
      <c r="BB54" s="23" t="n">
        <f aca="false">'Qté 2027'!BB54*$C54</f>
        <v>0</v>
      </c>
      <c r="BC54" s="23" t="n">
        <f aca="false">'Qté 2027'!BC54*$C54</f>
        <v>0</v>
      </c>
      <c r="BD54" s="15" t="n">
        <f aca="false">SUM(D54:BC54)</f>
        <v>220.6345</v>
      </c>
    </row>
    <row r="55" customFormat="false" ht="15" hidden="false" customHeight="false" outlineLevel="0" collapsed="false">
      <c r="A55" s="5" t="s">
        <v>230</v>
      </c>
      <c r="B55" s="5" t="s">
        <v>62</v>
      </c>
      <c r="C55" s="22" t="n">
        <v>27.5</v>
      </c>
      <c r="D55" s="23" t="n">
        <f aca="false">'Qté 2027'!D55*$C55</f>
        <v>0</v>
      </c>
      <c r="E55" s="23" t="n">
        <f aca="false">'Qté 2027'!E55*$C55</f>
        <v>0</v>
      </c>
      <c r="F55" s="23" t="n">
        <f aca="false">'Qté 2027'!F55*$C55</f>
        <v>0</v>
      </c>
      <c r="G55" s="23" t="n">
        <f aca="false">'Qté 2027'!G55*$C55</f>
        <v>0</v>
      </c>
      <c r="H55" s="23" t="n">
        <f aca="false">'Qté 2027'!H55*$C55</f>
        <v>0</v>
      </c>
      <c r="I55" s="23" t="n">
        <f aca="false">'Qté 2027'!I55*$C55</f>
        <v>0</v>
      </c>
      <c r="J55" s="23" t="n">
        <f aca="false">'Qté 2027'!J55*$C55</f>
        <v>0</v>
      </c>
      <c r="K55" s="23" t="n">
        <f aca="false">'Qté 2027'!K55*$C55</f>
        <v>0</v>
      </c>
      <c r="L55" s="23" t="n">
        <f aca="false">'Qté 2027'!L55*$C55</f>
        <v>0</v>
      </c>
      <c r="M55" s="23" t="n">
        <f aca="false">'Qté 2027'!M55*$C55</f>
        <v>0</v>
      </c>
      <c r="N55" s="23" t="n">
        <f aca="false">'Qté 2027'!N55*$C55</f>
        <v>0</v>
      </c>
      <c r="O55" s="23" t="n">
        <f aca="false">'Qté 2027'!O55*$C55</f>
        <v>2.2</v>
      </c>
      <c r="P55" s="23" t="n">
        <f aca="false">'Qté 2027'!P55*$C55</f>
        <v>4.4</v>
      </c>
      <c r="Q55" s="23" t="n">
        <f aca="false">'Qté 2027'!Q55*$C55</f>
        <v>2.2</v>
      </c>
      <c r="R55" s="23" t="n">
        <f aca="false">'Qté 2027'!R55*$C55</f>
        <v>0.825</v>
      </c>
      <c r="S55" s="23" t="n">
        <f aca="false">'Qté 2027'!S55*$C55</f>
        <v>1.925</v>
      </c>
      <c r="T55" s="23" t="n">
        <f aca="false">'Qté 2027'!T55*$C55</f>
        <v>6.6</v>
      </c>
      <c r="U55" s="23" t="n">
        <f aca="false">'Qté 2027'!U55*$C55</f>
        <v>14.85</v>
      </c>
      <c r="V55" s="23" t="n">
        <f aca="false">'Qté 2027'!V55*$C55</f>
        <v>23.375</v>
      </c>
      <c r="W55" s="23" t="n">
        <f aca="false">'Qté 2027'!W55*$C55</f>
        <v>24.75</v>
      </c>
      <c r="X55" s="23" t="n">
        <f aca="false">'Qté 2027'!X55*$C55</f>
        <v>11.55</v>
      </c>
      <c r="Y55" s="23" t="n">
        <f aca="false">'Qté 2027'!Y55*$C55</f>
        <v>3.85</v>
      </c>
      <c r="Z55" s="23" t="n">
        <f aca="false">'Qté 2027'!Z55*$C55</f>
        <v>10.45</v>
      </c>
      <c r="AA55" s="23" t="n">
        <f aca="false">'Qté 2027'!AA55*$C55</f>
        <v>14.85</v>
      </c>
      <c r="AB55" s="23" t="n">
        <f aca="false">'Qté 2027'!AB55*$C55</f>
        <v>10.45</v>
      </c>
      <c r="AC55" s="23" t="n">
        <f aca="false">'Qté 2027'!AC55*$C55</f>
        <v>7.7</v>
      </c>
      <c r="AD55" s="23" t="n">
        <f aca="false">'Qté 2027'!AD55*$C55</f>
        <v>9.35</v>
      </c>
      <c r="AE55" s="23" t="n">
        <f aca="false">'Qté 2027'!AE55*$C55</f>
        <v>9.35</v>
      </c>
      <c r="AF55" s="23" t="n">
        <f aca="false">'Qté 2027'!AF55*$C55</f>
        <v>9.075</v>
      </c>
      <c r="AG55" s="23" t="n">
        <f aca="false">'Qté 2027'!AG55*$C55</f>
        <v>6.875</v>
      </c>
      <c r="AH55" s="23" t="n">
        <f aca="false">'Qté 2027'!AH55*$C55</f>
        <v>6.875</v>
      </c>
      <c r="AI55" s="23" t="n">
        <f aca="false">'Qté 2027'!AI55*$C55</f>
        <v>6.875</v>
      </c>
      <c r="AJ55" s="23" t="n">
        <f aca="false">'Qté 2027'!AJ55*$C55</f>
        <v>2.2</v>
      </c>
      <c r="AK55" s="23" t="n">
        <f aca="false">'Qté 2027'!AK55*$C55</f>
        <v>2.2</v>
      </c>
      <c r="AL55" s="23" t="n">
        <f aca="false">'Qté 2027'!AL55*$C55</f>
        <v>4.675</v>
      </c>
      <c r="AM55" s="23" t="n">
        <f aca="false">'Qté 2027'!AM55*$C55</f>
        <v>2.2</v>
      </c>
      <c r="AN55" s="23" t="n">
        <f aca="false">'Qté 2027'!AN55*$C55</f>
        <v>0</v>
      </c>
      <c r="AO55" s="23" t="n">
        <f aca="false">'Qté 2027'!AO55*$C55</f>
        <v>0</v>
      </c>
      <c r="AP55" s="23" t="n">
        <f aca="false">'Qté 2027'!AP55*$C55</f>
        <v>0</v>
      </c>
      <c r="AQ55" s="23" t="n">
        <f aca="false">'Qté 2027'!AQ55*$C55</f>
        <v>0</v>
      </c>
      <c r="AR55" s="23" t="n">
        <f aca="false">'Qté 2027'!AR55*$C55</f>
        <v>0</v>
      </c>
      <c r="AS55" s="23" t="n">
        <f aca="false">'Qté 2027'!AS55*$C55</f>
        <v>0</v>
      </c>
      <c r="AT55" s="23" t="n">
        <f aca="false">'Qté 2027'!AT55*$C55</f>
        <v>0</v>
      </c>
      <c r="AU55" s="23" t="n">
        <f aca="false">'Qté 2027'!AU55*$C55</f>
        <v>0</v>
      </c>
      <c r="AV55" s="23" t="n">
        <f aca="false">'Qté 2027'!AV55*$C55</f>
        <v>0</v>
      </c>
      <c r="AW55" s="23" t="n">
        <f aca="false">'Qté 2027'!AW55*$C55</f>
        <v>0</v>
      </c>
      <c r="AX55" s="23" t="n">
        <f aca="false">'Qté 2027'!AX55*$C55</f>
        <v>0</v>
      </c>
      <c r="AY55" s="23" t="n">
        <f aca="false">'Qté 2027'!AY55*$C55</f>
        <v>0</v>
      </c>
      <c r="AZ55" s="23" t="n">
        <f aca="false">'Qté 2027'!AZ55*$C55</f>
        <v>0</v>
      </c>
      <c r="BA55" s="23" t="n">
        <f aca="false">'Qté 2027'!BA55*$C55</f>
        <v>0</v>
      </c>
      <c r="BB55" s="23" t="n">
        <f aca="false">'Qté 2027'!BB55*$C55</f>
        <v>0</v>
      </c>
      <c r="BC55" s="23" t="n">
        <f aca="false">'Qté 2027'!BC55*$C55</f>
        <v>0</v>
      </c>
      <c r="BD55" s="15" t="n">
        <f aca="false">SUM(D55:BC55)</f>
        <v>199.65</v>
      </c>
    </row>
    <row r="56" customFormat="false" ht="15" hidden="false" customHeight="false" outlineLevel="0" collapsed="false">
      <c r="A56" s="5" t="s">
        <v>231</v>
      </c>
      <c r="B56" s="5" t="s">
        <v>45</v>
      </c>
      <c r="C56" s="22" t="n">
        <v>19.8</v>
      </c>
      <c r="D56" s="23" t="n">
        <f aca="false">'Qté 2027'!D56*$C56</f>
        <v>0</v>
      </c>
      <c r="E56" s="23" t="n">
        <f aca="false">'Qté 2027'!E56*$C56</f>
        <v>0</v>
      </c>
      <c r="F56" s="23" t="n">
        <f aca="false">'Qté 2027'!F56*$C56</f>
        <v>0</v>
      </c>
      <c r="G56" s="23" t="n">
        <f aca="false">'Qté 2027'!G56*$C56</f>
        <v>0</v>
      </c>
      <c r="H56" s="23" t="n">
        <f aca="false">'Qté 2027'!H56*$C56</f>
        <v>0</v>
      </c>
      <c r="I56" s="23" t="n">
        <f aca="false">'Qté 2027'!I56*$C56</f>
        <v>0</v>
      </c>
      <c r="J56" s="23" t="n">
        <f aca="false">'Qté 2027'!J56*$C56</f>
        <v>0</v>
      </c>
      <c r="K56" s="23" t="n">
        <f aca="false">'Qté 2027'!K56*$C56</f>
        <v>0</v>
      </c>
      <c r="L56" s="23" t="n">
        <f aca="false">'Qté 2027'!L56*$C56</f>
        <v>0</v>
      </c>
      <c r="M56" s="23" t="n">
        <f aca="false">'Qté 2027'!M56*$C56</f>
        <v>0</v>
      </c>
      <c r="N56" s="23" t="n">
        <f aca="false">'Qté 2027'!N56*$C56</f>
        <v>0</v>
      </c>
      <c r="O56" s="23" t="n">
        <f aca="false">'Qté 2027'!O56*$C56</f>
        <v>0</v>
      </c>
      <c r="P56" s="23" t="n">
        <f aca="false">'Qté 2027'!P56*$C56</f>
        <v>1.188</v>
      </c>
      <c r="Q56" s="23" t="n">
        <f aca="false">'Qté 2027'!Q56*$C56</f>
        <v>4.554</v>
      </c>
      <c r="R56" s="23" t="n">
        <f aca="false">'Qté 2027'!R56*$C56</f>
        <v>7.326</v>
      </c>
      <c r="S56" s="23" t="n">
        <f aca="false">'Qté 2027'!S56*$C56</f>
        <v>5.742</v>
      </c>
      <c r="T56" s="23" t="n">
        <f aca="false">'Qté 2027'!T56*$C56</f>
        <v>1.782</v>
      </c>
      <c r="U56" s="23" t="n">
        <f aca="false">'Qté 2027'!U56*$C56</f>
        <v>1.584</v>
      </c>
      <c r="V56" s="23" t="n">
        <f aca="false">'Qté 2027'!V56*$C56</f>
        <v>3.96</v>
      </c>
      <c r="W56" s="23" t="n">
        <f aca="false">'Qté 2027'!W56*$C56</f>
        <v>8.118</v>
      </c>
      <c r="X56" s="23" t="n">
        <f aca="false">'Qté 2027'!X56*$C56</f>
        <v>11.88</v>
      </c>
      <c r="Y56" s="23" t="n">
        <f aca="false">'Qté 2027'!Y56*$C56</f>
        <v>10.89</v>
      </c>
      <c r="Z56" s="23" t="n">
        <f aca="false">'Qté 2027'!Z56*$C56</f>
        <v>14.058</v>
      </c>
      <c r="AA56" s="23" t="n">
        <f aca="false">'Qté 2027'!AA56*$C56</f>
        <v>17.226</v>
      </c>
      <c r="AB56" s="23" t="n">
        <f aca="false">'Qté 2027'!AB56*$C56</f>
        <v>10.494</v>
      </c>
      <c r="AC56" s="23" t="n">
        <f aca="false">'Qté 2027'!AC56*$C56</f>
        <v>6.534</v>
      </c>
      <c r="AD56" s="23" t="n">
        <f aca="false">'Qté 2027'!AD56*$C56</f>
        <v>8.316</v>
      </c>
      <c r="AE56" s="23" t="n">
        <f aca="false">'Qté 2027'!AE56*$C56</f>
        <v>10.494</v>
      </c>
      <c r="AF56" s="23" t="n">
        <f aca="false">'Qté 2027'!AF56*$C56</f>
        <v>12.078</v>
      </c>
      <c r="AG56" s="23" t="n">
        <f aca="false">'Qté 2027'!AG56*$C56</f>
        <v>12.474</v>
      </c>
      <c r="AH56" s="23" t="n">
        <f aca="false">'Qté 2027'!AH56*$C56</f>
        <v>11.484</v>
      </c>
      <c r="AI56" s="23" t="n">
        <f aca="false">'Qté 2027'!AI56*$C56</f>
        <v>7.326</v>
      </c>
      <c r="AJ56" s="23" t="n">
        <f aca="false">'Qté 2027'!AJ56*$C56</f>
        <v>4.554</v>
      </c>
      <c r="AK56" s="23" t="n">
        <f aca="false">'Qté 2027'!AK56*$C56</f>
        <v>3.96</v>
      </c>
      <c r="AL56" s="23" t="n">
        <f aca="false">'Qté 2027'!AL56*$C56</f>
        <v>3.366</v>
      </c>
      <c r="AM56" s="23" t="n">
        <f aca="false">'Qté 2027'!AM56*$C56</f>
        <v>1.584</v>
      </c>
      <c r="AN56" s="23" t="n">
        <f aca="false">'Qté 2027'!AN56*$C56</f>
        <v>0</v>
      </c>
      <c r="AO56" s="23" t="n">
        <f aca="false">'Qté 2027'!AO56*$C56</f>
        <v>0</v>
      </c>
      <c r="AP56" s="23" t="n">
        <f aca="false">'Qté 2027'!AP56*$C56</f>
        <v>0</v>
      </c>
      <c r="AQ56" s="23" t="n">
        <f aca="false">'Qté 2027'!AQ56*$C56</f>
        <v>1.584</v>
      </c>
      <c r="AR56" s="23" t="n">
        <f aca="false">'Qté 2027'!AR56*$C56</f>
        <v>4.95</v>
      </c>
      <c r="AS56" s="23" t="n">
        <f aca="false">'Qté 2027'!AS56*$C56</f>
        <v>4.95</v>
      </c>
      <c r="AT56" s="23" t="n">
        <f aca="false">'Qté 2027'!AT56*$C56</f>
        <v>1.584</v>
      </c>
      <c r="AU56" s="23" t="n">
        <f aca="false">'Qté 2027'!AU56*$C56</f>
        <v>0</v>
      </c>
      <c r="AV56" s="23" t="n">
        <f aca="false">'Qté 2027'!AV56*$C56</f>
        <v>0.99</v>
      </c>
      <c r="AW56" s="23" t="n">
        <f aca="false">'Qté 2027'!AW56*$C56</f>
        <v>1.98</v>
      </c>
      <c r="AX56" s="23" t="n">
        <f aca="false">'Qté 2027'!AX56*$C56</f>
        <v>0.99</v>
      </c>
      <c r="AY56" s="23" t="n">
        <f aca="false">'Qté 2027'!AY56*$C56</f>
        <v>0</v>
      </c>
      <c r="AZ56" s="23" t="n">
        <f aca="false">'Qté 2027'!AZ56*$C56</f>
        <v>0</v>
      </c>
      <c r="BA56" s="23" t="n">
        <f aca="false">'Qté 2027'!BA56*$C56</f>
        <v>0</v>
      </c>
      <c r="BB56" s="23" t="n">
        <f aca="false">'Qté 2027'!BB56*$C56</f>
        <v>0</v>
      </c>
      <c r="BC56" s="23" t="n">
        <f aca="false">'Qté 2027'!BC56*$C56</f>
        <v>0</v>
      </c>
      <c r="BD56" s="15" t="n">
        <f aca="false">SUM(D56:BC56)</f>
        <v>198</v>
      </c>
    </row>
    <row r="57" customFormat="false" ht="15" hidden="false" customHeight="false" outlineLevel="0" collapsed="false">
      <c r="A57" s="5" t="s">
        <v>232</v>
      </c>
      <c r="B57" s="5" t="s">
        <v>57</v>
      </c>
      <c r="C57" s="22" t="n">
        <v>39.96</v>
      </c>
      <c r="D57" s="23" t="n">
        <f aca="false">'Qté 2027'!D57*$C57</f>
        <v>0</v>
      </c>
      <c r="E57" s="23" t="n">
        <f aca="false">'Qté 2027'!E57*$C57</f>
        <v>0</v>
      </c>
      <c r="F57" s="23" t="n">
        <f aca="false">'Qté 2027'!F57*$C57</f>
        <v>0</v>
      </c>
      <c r="G57" s="23" t="n">
        <f aca="false">'Qté 2027'!G57*$C57</f>
        <v>0</v>
      </c>
      <c r="H57" s="23" t="n">
        <f aca="false">'Qté 2027'!H57*$C57</f>
        <v>0</v>
      </c>
      <c r="I57" s="23" t="n">
        <f aca="false">'Qté 2027'!I57*$C57</f>
        <v>0</v>
      </c>
      <c r="J57" s="23" t="n">
        <f aca="false">'Qté 2027'!J57*$C57</f>
        <v>0</v>
      </c>
      <c r="K57" s="23" t="n">
        <f aca="false">'Qté 2027'!K57*$C57</f>
        <v>0</v>
      </c>
      <c r="L57" s="23" t="n">
        <f aca="false">'Qté 2027'!L57*$C57</f>
        <v>0</v>
      </c>
      <c r="M57" s="23" t="n">
        <f aca="false">'Qté 2027'!M57*$C57</f>
        <v>0</v>
      </c>
      <c r="N57" s="23" t="n">
        <f aca="false">'Qté 2027'!N57*$C57</f>
        <v>1.998</v>
      </c>
      <c r="O57" s="23" t="n">
        <f aca="false">'Qté 2027'!O57*$C57</f>
        <v>3.5964</v>
      </c>
      <c r="P57" s="23" t="n">
        <f aca="false">'Qté 2027'!P57*$C57</f>
        <v>1.998</v>
      </c>
      <c r="Q57" s="23" t="n">
        <f aca="false">'Qté 2027'!Q57*$C57</f>
        <v>0</v>
      </c>
      <c r="R57" s="23" t="n">
        <f aca="false">'Qté 2027'!R57*$C57</f>
        <v>0</v>
      </c>
      <c r="S57" s="23" t="n">
        <f aca="false">'Qté 2027'!S57*$C57</f>
        <v>0</v>
      </c>
      <c r="T57" s="23" t="n">
        <f aca="false">'Qté 2027'!T57*$C57</f>
        <v>0</v>
      </c>
      <c r="U57" s="23" t="n">
        <f aca="false">'Qté 2027'!U57*$C57</f>
        <v>0</v>
      </c>
      <c r="V57" s="23" t="n">
        <f aca="false">'Qté 2027'!V57*$C57</f>
        <v>6.3936</v>
      </c>
      <c r="W57" s="23" t="n">
        <f aca="false">'Qté 2027'!W57*$C57</f>
        <v>13.986</v>
      </c>
      <c r="X57" s="23" t="n">
        <f aca="false">'Qté 2027'!X57*$C57</f>
        <v>19.98</v>
      </c>
      <c r="Y57" s="23" t="n">
        <f aca="false">'Qté 2027'!Y57*$C57</f>
        <v>23.1768</v>
      </c>
      <c r="Z57" s="23" t="n">
        <f aca="false">'Qté 2027'!Z57*$C57</f>
        <v>17.1828</v>
      </c>
      <c r="AA57" s="23" t="n">
        <f aca="false">'Qté 2027'!AA57*$C57</f>
        <v>12.7872</v>
      </c>
      <c r="AB57" s="23" t="n">
        <f aca="false">'Qté 2027'!AB57*$C57</f>
        <v>10.7892</v>
      </c>
      <c r="AC57" s="23" t="n">
        <f aca="false">'Qté 2027'!AC57*$C57</f>
        <v>9.1908</v>
      </c>
      <c r="AD57" s="23" t="n">
        <f aca="false">'Qté 2027'!AD57*$C57</f>
        <v>7.5924</v>
      </c>
      <c r="AE57" s="23" t="n">
        <f aca="false">'Qté 2027'!AE57*$C57</f>
        <v>10.7892</v>
      </c>
      <c r="AF57" s="23" t="n">
        <f aca="false">'Qté 2027'!AF57*$C57</f>
        <v>12.3876</v>
      </c>
      <c r="AG57" s="23" t="n">
        <f aca="false">'Qté 2027'!AG57*$C57</f>
        <v>7.1928</v>
      </c>
      <c r="AH57" s="23" t="n">
        <f aca="false">'Qté 2027'!AH57*$C57</f>
        <v>5.1948</v>
      </c>
      <c r="AI57" s="23" t="n">
        <f aca="false">'Qté 2027'!AI57*$C57</f>
        <v>2.7972</v>
      </c>
      <c r="AJ57" s="23" t="n">
        <f aca="false">'Qté 2027'!AJ57*$C57</f>
        <v>0</v>
      </c>
      <c r="AK57" s="23" t="n">
        <f aca="false">'Qté 2027'!AK57*$C57</f>
        <v>0</v>
      </c>
      <c r="AL57" s="23" t="n">
        <f aca="false">'Qté 2027'!AL57*$C57</f>
        <v>0</v>
      </c>
      <c r="AM57" s="23" t="n">
        <f aca="false">'Qté 2027'!AM57*$C57</f>
        <v>0</v>
      </c>
      <c r="AN57" s="23" t="n">
        <f aca="false">'Qté 2027'!AN57*$C57</f>
        <v>0</v>
      </c>
      <c r="AO57" s="23" t="n">
        <f aca="false">'Qté 2027'!AO57*$C57</f>
        <v>0</v>
      </c>
      <c r="AP57" s="23" t="n">
        <f aca="false">'Qté 2027'!AP57*$C57</f>
        <v>3.996</v>
      </c>
      <c r="AQ57" s="23" t="n">
        <f aca="false">'Qté 2027'!AQ57*$C57</f>
        <v>11.1888</v>
      </c>
      <c r="AR57" s="23" t="n">
        <f aca="false">'Qté 2027'!AR57*$C57</f>
        <v>10.7892</v>
      </c>
      <c r="AS57" s="23" t="n">
        <f aca="false">'Qté 2027'!AS57*$C57</f>
        <v>3.1968</v>
      </c>
      <c r="AT57" s="23" t="n">
        <f aca="false">'Qté 2027'!AT57*$C57</f>
        <v>0</v>
      </c>
      <c r="AU57" s="23" t="n">
        <f aca="false">'Qté 2027'!AU57*$C57</f>
        <v>0</v>
      </c>
      <c r="AV57" s="23" t="n">
        <f aca="false">'Qté 2027'!AV57*$C57</f>
        <v>0</v>
      </c>
      <c r="AW57" s="23" t="n">
        <f aca="false">'Qté 2027'!AW57*$C57</f>
        <v>0</v>
      </c>
      <c r="AX57" s="23" t="n">
        <f aca="false">'Qté 2027'!AX57*$C57</f>
        <v>0</v>
      </c>
      <c r="AY57" s="23" t="n">
        <f aca="false">'Qté 2027'!AY57*$C57</f>
        <v>0</v>
      </c>
      <c r="AZ57" s="23" t="n">
        <f aca="false">'Qté 2027'!AZ57*$C57</f>
        <v>0</v>
      </c>
      <c r="BA57" s="23" t="n">
        <f aca="false">'Qté 2027'!BA57*$C57</f>
        <v>0</v>
      </c>
      <c r="BB57" s="23" t="n">
        <f aca="false">'Qté 2027'!BB57*$C57</f>
        <v>0</v>
      </c>
      <c r="BC57" s="23" t="n">
        <f aca="false">'Qté 2027'!BC57*$C57</f>
        <v>0</v>
      </c>
      <c r="BD57" s="15" t="n">
        <f aca="false">SUM(D57:BC57)</f>
        <v>196.2036</v>
      </c>
    </row>
    <row r="58" customFormat="false" ht="15" hidden="false" customHeight="false" outlineLevel="0" collapsed="false">
      <c r="A58" s="5" t="s">
        <v>233</v>
      </c>
      <c r="B58" s="5" t="s">
        <v>63</v>
      </c>
      <c r="C58" s="22" t="n">
        <v>145.2</v>
      </c>
      <c r="D58" s="23" t="n">
        <f aca="false">'Qté 2027'!D58*$C58</f>
        <v>0</v>
      </c>
      <c r="E58" s="23" t="n">
        <f aca="false">'Qté 2027'!E58*$C58</f>
        <v>0</v>
      </c>
      <c r="F58" s="23" t="n">
        <f aca="false">'Qté 2027'!F58*$C58</f>
        <v>0</v>
      </c>
      <c r="G58" s="23" t="n">
        <f aca="false">'Qté 2027'!G58*$C58</f>
        <v>0</v>
      </c>
      <c r="H58" s="23" t="n">
        <f aca="false">'Qté 2027'!H58*$C58</f>
        <v>0</v>
      </c>
      <c r="I58" s="23" t="n">
        <f aca="false">'Qté 2027'!I58*$C58</f>
        <v>0</v>
      </c>
      <c r="J58" s="23" t="n">
        <f aca="false">'Qté 2027'!J58*$C58</f>
        <v>0</v>
      </c>
      <c r="K58" s="23" t="n">
        <f aca="false">'Qté 2027'!K58*$C58</f>
        <v>0</v>
      </c>
      <c r="L58" s="23" t="n">
        <f aca="false">'Qté 2027'!L58*$C58</f>
        <v>0</v>
      </c>
      <c r="M58" s="23" t="n">
        <f aca="false">'Qté 2027'!M58*$C58</f>
        <v>0</v>
      </c>
      <c r="N58" s="23" t="n">
        <f aca="false">'Qté 2027'!N58*$C58</f>
        <v>0</v>
      </c>
      <c r="O58" s="23" t="n">
        <f aca="false">'Qté 2027'!O58*$C58</f>
        <v>0</v>
      </c>
      <c r="P58" s="23" t="n">
        <f aca="false">'Qté 2027'!P58*$C58</f>
        <v>0</v>
      </c>
      <c r="Q58" s="23" t="n">
        <f aca="false">'Qté 2027'!Q58*$C58</f>
        <v>0</v>
      </c>
      <c r="R58" s="23" t="n">
        <f aca="false">'Qté 2027'!R58*$C58</f>
        <v>0</v>
      </c>
      <c r="S58" s="23" t="n">
        <f aca="false">'Qté 2027'!S58*$C58</f>
        <v>0</v>
      </c>
      <c r="T58" s="23" t="n">
        <f aca="false">'Qté 2027'!T58*$C58</f>
        <v>0</v>
      </c>
      <c r="U58" s="23" t="n">
        <f aca="false">'Qté 2027'!U58*$C58</f>
        <v>2.904</v>
      </c>
      <c r="V58" s="23" t="n">
        <f aca="false">'Qté 2027'!V58*$C58</f>
        <v>10.164</v>
      </c>
      <c r="W58" s="23" t="n">
        <f aca="false">'Qté 2027'!W58*$C58</f>
        <v>10.164</v>
      </c>
      <c r="X58" s="23" t="n">
        <f aca="false">'Qté 2027'!X58*$C58</f>
        <v>2.904</v>
      </c>
      <c r="Y58" s="23" t="n">
        <f aca="false">'Qté 2027'!Y58*$C58</f>
        <v>2.904</v>
      </c>
      <c r="Z58" s="23" t="n">
        <f aca="false">'Qté 2027'!Z58*$C58</f>
        <v>7.26</v>
      </c>
      <c r="AA58" s="23" t="n">
        <f aca="false">'Qté 2027'!AA58*$C58</f>
        <v>14.52</v>
      </c>
      <c r="AB58" s="23" t="n">
        <f aca="false">'Qté 2027'!AB58*$C58</f>
        <v>30.492</v>
      </c>
      <c r="AC58" s="23" t="n">
        <f aca="false">'Qté 2027'!AC58*$C58</f>
        <v>39.204</v>
      </c>
      <c r="AD58" s="23" t="n">
        <f aca="false">'Qté 2027'!AD58*$C58</f>
        <v>30.492</v>
      </c>
      <c r="AE58" s="23" t="n">
        <f aca="false">'Qté 2027'!AE58*$C58</f>
        <v>11.616</v>
      </c>
      <c r="AF58" s="23" t="n">
        <f aca="false">'Qté 2027'!AF58*$C58</f>
        <v>0</v>
      </c>
      <c r="AG58" s="23" t="n">
        <f aca="false">'Qté 2027'!AG58*$C58</f>
        <v>0</v>
      </c>
      <c r="AH58" s="23" t="n">
        <f aca="false">'Qté 2027'!AH58*$C58</f>
        <v>0</v>
      </c>
      <c r="AI58" s="23" t="n">
        <f aca="false">'Qté 2027'!AI58*$C58</f>
        <v>0</v>
      </c>
      <c r="AJ58" s="23" t="n">
        <f aca="false">'Qté 2027'!AJ58*$C58</f>
        <v>0</v>
      </c>
      <c r="AK58" s="23" t="n">
        <f aca="false">'Qté 2027'!AK58*$C58</f>
        <v>0</v>
      </c>
      <c r="AL58" s="23" t="n">
        <f aca="false">'Qté 2027'!AL58*$C58</f>
        <v>0</v>
      </c>
      <c r="AM58" s="23" t="n">
        <f aca="false">'Qté 2027'!AM58*$C58</f>
        <v>0</v>
      </c>
      <c r="AN58" s="23" t="n">
        <f aca="false">'Qté 2027'!AN58*$C58</f>
        <v>0</v>
      </c>
      <c r="AO58" s="23" t="n">
        <f aca="false">'Qté 2027'!AO58*$C58</f>
        <v>0</v>
      </c>
      <c r="AP58" s="23" t="n">
        <f aca="false">'Qté 2027'!AP58*$C58</f>
        <v>0</v>
      </c>
      <c r="AQ58" s="23" t="n">
        <f aca="false">'Qté 2027'!AQ58*$C58</f>
        <v>7.26</v>
      </c>
      <c r="AR58" s="23" t="n">
        <f aca="false">'Qté 2027'!AR58*$C58</f>
        <v>14.52</v>
      </c>
      <c r="AS58" s="23" t="n">
        <f aca="false">'Qté 2027'!AS58*$C58</f>
        <v>7.26</v>
      </c>
      <c r="AT58" s="23" t="n">
        <f aca="false">'Qté 2027'!AT58*$C58</f>
        <v>0</v>
      </c>
      <c r="AU58" s="23" t="n">
        <f aca="false">'Qté 2027'!AU58*$C58</f>
        <v>0</v>
      </c>
      <c r="AV58" s="23" t="n">
        <f aca="false">'Qté 2027'!AV58*$C58</f>
        <v>0</v>
      </c>
      <c r="AW58" s="23" t="n">
        <f aca="false">'Qté 2027'!AW58*$C58</f>
        <v>0</v>
      </c>
      <c r="AX58" s="23" t="n">
        <f aca="false">'Qté 2027'!AX58*$C58</f>
        <v>0</v>
      </c>
      <c r="AY58" s="23" t="n">
        <f aca="false">'Qté 2027'!AY58*$C58</f>
        <v>0</v>
      </c>
      <c r="AZ58" s="23" t="n">
        <f aca="false">'Qté 2027'!AZ58*$C58</f>
        <v>0</v>
      </c>
      <c r="BA58" s="23" t="n">
        <f aca="false">'Qté 2027'!BA58*$C58</f>
        <v>0</v>
      </c>
      <c r="BB58" s="23" t="n">
        <f aca="false">'Qté 2027'!BB58*$C58</f>
        <v>0</v>
      </c>
      <c r="BC58" s="23" t="n">
        <f aca="false">'Qté 2027'!BC58*$C58</f>
        <v>0</v>
      </c>
      <c r="BD58" s="15" t="n">
        <f aca="false">SUM(D58:BC58)</f>
        <v>191.664</v>
      </c>
    </row>
    <row r="59" customFormat="false" ht="15" hidden="false" customHeight="false" outlineLevel="0" collapsed="false">
      <c r="A59" s="5" t="s">
        <v>234</v>
      </c>
      <c r="B59" s="5" t="s">
        <v>57</v>
      </c>
      <c r="C59" s="22" t="n">
        <v>5.8</v>
      </c>
      <c r="D59" s="23" t="n">
        <f aca="false">'Qté 2027'!D59*$C59</f>
        <v>0</v>
      </c>
      <c r="E59" s="23" t="n">
        <f aca="false">'Qté 2027'!E59*$C59</f>
        <v>0</v>
      </c>
      <c r="F59" s="23" t="n">
        <f aca="false">'Qté 2027'!F59*$C59</f>
        <v>0</v>
      </c>
      <c r="G59" s="23" t="n">
        <f aca="false">'Qté 2027'!G59*$C59</f>
        <v>0</v>
      </c>
      <c r="H59" s="23" t="n">
        <f aca="false">'Qté 2027'!H59*$C59</f>
        <v>0</v>
      </c>
      <c r="I59" s="23" t="n">
        <f aca="false">'Qté 2027'!I59*$C59</f>
        <v>0</v>
      </c>
      <c r="J59" s="23" t="n">
        <f aca="false">'Qté 2027'!J59*$C59</f>
        <v>0</v>
      </c>
      <c r="K59" s="23" t="n">
        <f aca="false">'Qté 2027'!K59*$C59</f>
        <v>0</v>
      </c>
      <c r="L59" s="23" t="n">
        <f aca="false">'Qté 2027'!L59*$C59</f>
        <v>0</v>
      </c>
      <c r="M59" s="23" t="n">
        <f aca="false">'Qté 2027'!M59*$C59</f>
        <v>0.116</v>
      </c>
      <c r="N59" s="23" t="n">
        <f aca="false">'Qté 2027'!N59*$C59</f>
        <v>0.232</v>
      </c>
      <c r="O59" s="23" t="n">
        <f aca="false">'Qté 2027'!O59*$C59</f>
        <v>0.116</v>
      </c>
      <c r="P59" s="23" t="n">
        <f aca="false">'Qté 2027'!P59*$C59</f>
        <v>0</v>
      </c>
      <c r="Q59" s="23" t="n">
        <f aca="false">'Qté 2027'!Q59*$C59</f>
        <v>1.044</v>
      </c>
      <c r="R59" s="23" t="n">
        <f aca="false">'Qté 2027'!R59*$C59</f>
        <v>2.088</v>
      </c>
      <c r="S59" s="23" t="n">
        <f aca="false">'Qté 2027'!S59*$C59</f>
        <v>1.044</v>
      </c>
      <c r="T59" s="23" t="n">
        <f aca="false">'Qté 2027'!T59*$C59</f>
        <v>0.464</v>
      </c>
      <c r="U59" s="23" t="n">
        <f aca="false">'Qté 2027'!U59*$C59</f>
        <v>7.018</v>
      </c>
      <c r="V59" s="23" t="n">
        <f aca="false">'Qté 2027'!V59*$C59</f>
        <v>15.776</v>
      </c>
      <c r="W59" s="23" t="n">
        <f aca="false">'Qté 2027'!W59*$C59</f>
        <v>14.036</v>
      </c>
      <c r="X59" s="23" t="n">
        <f aca="false">'Qté 2027'!X59*$C59</f>
        <v>9.222</v>
      </c>
      <c r="Y59" s="23" t="n">
        <f aca="false">'Qté 2027'!Y59*$C59</f>
        <v>9.57</v>
      </c>
      <c r="Z59" s="23" t="n">
        <f aca="false">'Qté 2027'!Z59*$C59</f>
        <v>10.324</v>
      </c>
      <c r="AA59" s="23" t="n">
        <f aca="false">'Qté 2027'!AA59*$C59</f>
        <v>13.804</v>
      </c>
      <c r="AB59" s="23" t="n">
        <f aca="false">'Qté 2027'!AB59*$C59</f>
        <v>19.43</v>
      </c>
      <c r="AC59" s="23" t="n">
        <f aca="false">'Qté 2027'!AC59*$C59</f>
        <v>15.602</v>
      </c>
      <c r="AD59" s="23" t="n">
        <f aca="false">'Qté 2027'!AD59*$C59</f>
        <v>6.438</v>
      </c>
      <c r="AE59" s="23" t="n">
        <f aca="false">'Qté 2027'!AE59*$C59</f>
        <v>3.712</v>
      </c>
      <c r="AF59" s="23" t="n">
        <f aca="false">'Qté 2027'!AF59*$C59</f>
        <v>4.06</v>
      </c>
      <c r="AG59" s="23" t="n">
        <f aca="false">'Qté 2027'!AG59*$C59</f>
        <v>6.728</v>
      </c>
      <c r="AH59" s="23" t="n">
        <f aca="false">'Qté 2027'!AH59*$C59</f>
        <v>12.586</v>
      </c>
      <c r="AI59" s="23" t="n">
        <f aca="false">'Qté 2027'!AI59*$C59</f>
        <v>11.658</v>
      </c>
      <c r="AJ59" s="23" t="n">
        <f aca="false">'Qté 2027'!AJ59*$C59</f>
        <v>3.886</v>
      </c>
      <c r="AK59" s="23" t="n">
        <f aca="false">'Qté 2027'!AK59*$C59</f>
        <v>2.9</v>
      </c>
      <c r="AL59" s="23" t="n">
        <f aca="false">'Qté 2027'!AL59*$C59</f>
        <v>6.206</v>
      </c>
      <c r="AM59" s="23" t="n">
        <f aca="false">'Qté 2027'!AM59*$C59</f>
        <v>3.77</v>
      </c>
      <c r="AN59" s="23" t="n">
        <f aca="false">'Qté 2027'!AN59*$C59</f>
        <v>0.406</v>
      </c>
      <c r="AO59" s="23" t="n">
        <f aca="false">'Qté 2027'!AO59*$C59</f>
        <v>0</v>
      </c>
      <c r="AP59" s="23" t="n">
        <f aca="false">'Qté 2027'!AP59*$C59</f>
        <v>0</v>
      </c>
      <c r="AQ59" s="23" t="n">
        <f aca="false">'Qté 2027'!AQ59*$C59</f>
        <v>0</v>
      </c>
      <c r="AR59" s="23" t="n">
        <f aca="false">'Qté 2027'!AR59*$C59</f>
        <v>0</v>
      </c>
      <c r="AS59" s="23" t="n">
        <f aca="false">'Qté 2027'!AS59*$C59</f>
        <v>0</v>
      </c>
      <c r="AT59" s="23" t="n">
        <f aca="false">'Qté 2027'!AT59*$C59</f>
        <v>0</v>
      </c>
      <c r="AU59" s="23" t="n">
        <f aca="false">'Qté 2027'!AU59*$C59</f>
        <v>0</v>
      </c>
      <c r="AV59" s="23" t="n">
        <f aca="false">'Qté 2027'!AV59*$C59</f>
        <v>0</v>
      </c>
      <c r="AW59" s="23" t="n">
        <f aca="false">'Qté 2027'!AW59*$C59</f>
        <v>0</v>
      </c>
      <c r="AX59" s="23" t="n">
        <f aca="false">'Qté 2027'!AX59*$C59</f>
        <v>0</v>
      </c>
      <c r="AY59" s="23" t="n">
        <f aca="false">'Qté 2027'!AY59*$C59</f>
        <v>0</v>
      </c>
      <c r="AZ59" s="23" t="n">
        <f aca="false">'Qté 2027'!AZ59*$C59</f>
        <v>0</v>
      </c>
      <c r="BA59" s="23" t="n">
        <f aca="false">'Qté 2027'!BA59*$C59</f>
        <v>0</v>
      </c>
      <c r="BB59" s="23" t="n">
        <f aca="false">'Qté 2027'!BB59*$C59</f>
        <v>0</v>
      </c>
      <c r="BC59" s="23" t="n">
        <f aca="false">'Qté 2027'!BC59*$C59</f>
        <v>0</v>
      </c>
      <c r="BD59" s="15" t="n">
        <f aca="false">SUM(D59:BC59)</f>
        <v>182.236</v>
      </c>
    </row>
    <row r="60" customFormat="false" ht="15" hidden="false" customHeight="false" outlineLevel="0" collapsed="false">
      <c r="A60" s="5" t="s">
        <v>236</v>
      </c>
      <c r="B60" s="5" t="s">
        <v>62</v>
      </c>
      <c r="C60" s="22" t="n">
        <v>18</v>
      </c>
      <c r="D60" s="23" t="n">
        <f aca="false">'Qté 2027'!D60*$C60</f>
        <v>0</v>
      </c>
      <c r="E60" s="23" t="n">
        <f aca="false">'Qté 2027'!E60*$C60</f>
        <v>0</v>
      </c>
      <c r="F60" s="23" t="n">
        <f aca="false">'Qté 2027'!F60*$C60</f>
        <v>0</v>
      </c>
      <c r="G60" s="23" t="n">
        <f aca="false">'Qté 2027'!G60*$C60</f>
        <v>0</v>
      </c>
      <c r="H60" s="23" t="n">
        <f aca="false">'Qté 2027'!H60*$C60</f>
        <v>0</v>
      </c>
      <c r="I60" s="23" t="n">
        <f aca="false">'Qté 2027'!I60*$C60</f>
        <v>0</v>
      </c>
      <c r="J60" s="23" t="n">
        <f aca="false">'Qté 2027'!J60*$C60</f>
        <v>0</v>
      </c>
      <c r="K60" s="23" t="n">
        <f aca="false">'Qté 2027'!K60*$C60</f>
        <v>0</v>
      </c>
      <c r="L60" s="23" t="n">
        <f aca="false">'Qté 2027'!L60*$C60</f>
        <v>0</v>
      </c>
      <c r="M60" s="23" t="n">
        <f aca="false">'Qté 2027'!M60*$C60</f>
        <v>0</v>
      </c>
      <c r="N60" s="23" t="n">
        <f aca="false">'Qté 2027'!N60*$C60</f>
        <v>0</v>
      </c>
      <c r="O60" s="23" t="n">
        <f aca="false">'Qté 2027'!O60*$C60</f>
        <v>1.08</v>
      </c>
      <c r="P60" s="23" t="n">
        <f aca="false">'Qté 2027'!P60*$C60</f>
        <v>1.98</v>
      </c>
      <c r="Q60" s="23" t="n">
        <f aca="false">'Qté 2027'!Q60*$C60</f>
        <v>11.52</v>
      </c>
      <c r="R60" s="23" t="n">
        <f aca="false">'Qté 2027'!R60*$C60</f>
        <v>27.18</v>
      </c>
      <c r="S60" s="23" t="n">
        <f aca="false">'Qté 2027'!S60*$C60</f>
        <v>26.28</v>
      </c>
      <c r="T60" s="23" t="n">
        <f aca="false">'Qté 2027'!T60*$C60</f>
        <v>16.02</v>
      </c>
      <c r="U60" s="23" t="n">
        <f aca="false">'Qté 2027'!U60*$C60</f>
        <v>18.9</v>
      </c>
      <c r="V60" s="23" t="n">
        <f aca="false">'Qté 2027'!V60*$C60</f>
        <v>21.78</v>
      </c>
      <c r="W60" s="23" t="n">
        <f aca="false">'Qté 2027'!W60*$C60</f>
        <v>9.36</v>
      </c>
      <c r="X60" s="23" t="n">
        <f aca="false">'Qté 2027'!X60*$C60</f>
        <v>0.36</v>
      </c>
      <c r="Y60" s="23" t="n">
        <f aca="false">'Qté 2027'!Y60*$C60</f>
        <v>2.88</v>
      </c>
      <c r="Z60" s="23" t="n">
        <f aca="false">'Qté 2027'!Z60*$C60</f>
        <v>6.48</v>
      </c>
      <c r="AA60" s="23" t="n">
        <f aca="false">'Qté 2027'!AA60*$C60</f>
        <v>7.38</v>
      </c>
      <c r="AB60" s="23" t="n">
        <f aca="false">'Qté 2027'!AB60*$C60</f>
        <v>4.5</v>
      </c>
      <c r="AC60" s="23" t="n">
        <f aca="false">'Qté 2027'!AC60*$C60</f>
        <v>1.62</v>
      </c>
      <c r="AD60" s="23" t="n">
        <f aca="false">'Qté 2027'!AD60*$C60</f>
        <v>0.9</v>
      </c>
      <c r="AE60" s="23" t="n">
        <f aca="false">'Qté 2027'!AE60*$C60</f>
        <v>0.36</v>
      </c>
      <c r="AF60" s="23" t="n">
        <f aca="false">'Qté 2027'!AF60*$C60</f>
        <v>0</v>
      </c>
      <c r="AG60" s="23" t="n">
        <f aca="false">'Qté 2027'!AG60*$C60</f>
        <v>0</v>
      </c>
      <c r="AH60" s="23" t="n">
        <f aca="false">'Qté 2027'!AH60*$C60</f>
        <v>0</v>
      </c>
      <c r="AI60" s="23" t="n">
        <f aca="false">'Qté 2027'!AI60*$C60</f>
        <v>0</v>
      </c>
      <c r="AJ60" s="23" t="n">
        <f aca="false">'Qté 2027'!AJ60*$C60</f>
        <v>0</v>
      </c>
      <c r="AK60" s="23" t="n">
        <f aca="false">'Qté 2027'!AK60*$C60</f>
        <v>0</v>
      </c>
      <c r="AL60" s="23" t="n">
        <f aca="false">'Qté 2027'!AL60*$C60</f>
        <v>0</v>
      </c>
      <c r="AM60" s="23" t="n">
        <f aca="false">'Qté 2027'!AM60*$C60</f>
        <v>0</v>
      </c>
      <c r="AN60" s="23" t="n">
        <f aca="false">'Qté 2027'!AN60*$C60</f>
        <v>0</v>
      </c>
      <c r="AO60" s="23" t="n">
        <f aca="false">'Qté 2027'!AO60*$C60</f>
        <v>0</v>
      </c>
      <c r="AP60" s="23" t="n">
        <f aca="false">'Qté 2027'!AP60*$C60</f>
        <v>0</v>
      </c>
      <c r="AQ60" s="23" t="n">
        <f aca="false">'Qté 2027'!AQ60*$C60</f>
        <v>0</v>
      </c>
      <c r="AR60" s="23" t="n">
        <f aca="false">'Qté 2027'!AR60*$C60</f>
        <v>0</v>
      </c>
      <c r="AS60" s="23" t="n">
        <f aca="false">'Qté 2027'!AS60*$C60</f>
        <v>0</v>
      </c>
      <c r="AT60" s="23" t="n">
        <f aca="false">'Qté 2027'!AT60*$C60</f>
        <v>0</v>
      </c>
      <c r="AU60" s="23" t="n">
        <f aca="false">'Qté 2027'!AU60*$C60</f>
        <v>1.44</v>
      </c>
      <c r="AV60" s="23" t="n">
        <f aca="false">'Qté 2027'!AV60*$C60</f>
        <v>3.06</v>
      </c>
      <c r="AW60" s="23" t="n">
        <f aca="false">'Qté 2027'!AW60*$C60</f>
        <v>1.44</v>
      </c>
      <c r="AX60" s="23" t="n">
        <f aca="false">'Qté 2027'!AX60*$C60</f>
        <v>0</v>
      </c>
      <c r="AY60" s="23" t="n">
        <f aca="false">'Qté 2027'!AY60*$C60</f>
        <v>0</v>
      </c>
      <c r="AZ60" s="23" t="n">
        <f aca="false">'Qté 2027'!AZ60*$C60</f>
        <v>0</v>
      </c>
      <c r="BA60" s="23" t="n">
        <f aca="false">'Qté 2027'!BA60*$C60</f>
        <v>0</v>
      </c>
      <c r="BB60" s="23" t="n">
        <f aca="false">'Qté 2027'!BB60*$C60</f>
        <v>0</v>
      </c>
      <c r="BC60" s="23" t="n">
        <f aca="false">'Qté 2027'!BC60*$C60</f>
        <v>0</v>
      </c>
      <c r="BD60" s="15" t="n">
        <f aca="false">SUM(D60:BC60)</f>
        <v>164.52</v>
      </c>
    </row>
    <row r="61" customFormat="false" ht="15" hidden="false" customHeight="false" outlineLevel="0" collapsed="false">
      <c r="A61" s="5" t="s">
        <v>237</v>
      </c>
      <c r="B61" s="5" t="s">
        <v>57</v>
      </c>
      <c r="C61" s="22" t="n">
        <v>118.8</v>
      </c>
      <c r="D61" s="23" t="n">
        <f aca="false">'Qté 2027'!D61*$C61</f>
        <v>0</v>
      </c>
      <c r="E61" s="23" t="n">
        <f aca="false">'Qté 2027'!E61*$C61</f>
        <v>0</v>
      </c>
      <c r="F61" s="23" t="n">
        <f aca="false">'Qté 2027'!F61*$C61</f>
        <v>0</v>
      </c>
      <c r="G61" s="23" t="n">
        <f aca="false">'Qté 2027'!G61*$C61</f>
        <v>0</v>
      </c>
      <c r="H61" s="23" t="n">
        <f aca="false">'Qté 2027'!H61*$C61</f>
        <v>0</v>
      </c>
      <c r="I61" s="23" t="n">
        <f aca="false">'Qté 2027'!I61*$C61</f>
        <v>0</v>
      </c>
      <c r="J61" s="23" t="n">
        <f aca="false">'Qté 2027'!J61*$C61</f>
        <v>0</v>
      </c>
      <c r="K61" s="23" t="n">
        <f aca="false">'Qté 2027'!K61*$C61</f>
        <v>0</v>
      </c>
      <c r="L61" s="23" t="n">
        <f aca="false">'Qté 2027'!L61*$C61</f>
        <v>0</v>
      </c>
      <c r="M61" s="23" t="n">
        <f aca="false">'Qté 2027'!M61*$C61</f>
        <v>0</v>
      </c>
      <c r="N61" s="23" t="n">
        <f aca="false">'Qté 2027'!N61*$C61</f>
        <v>0</v>
      </c>
      <c r="O61" s="23" t="n">
        <f aca="false">'Qté 2027'!O61*$C61</f>
        <v>0</v>
      </c>
      <c r="P61" s="23" t="n">
        <f aca="false">'Qté 2027'!P61*$C61</f>
        <v>0</v>
      </c>
      <c r="Q61" s="23" t="n">
        <f aca="false">'Qté 2027'!Q61*$C61</f>
        <v>0</v>
      </c>
      <c r="R61" s="23" t="n">
        <f aca="false">'Qté 2027'!R61*$C61</f>
        <v>0</v>
      </c>
      <c r="S61" s="23" t="n">
        <f aca="false">'Qté 2027'!S61*$C61</f>
        <v>0</v>
      </c>
      <c r="T61" s="23" t="n">
        <f aca="false">'Qté 2027'!T61*$C61</f>
        <v>0</v>
      </c>
      <c r="U61" s="23" t="n">
        <f aca="false">'Qté 2027'!U61*$C61</f>
        <v>0</v>
      </c>
      <c r="V61" s="23" t="n">
        <f aca="false">'Qté 2027'!V61*$C61</f>
        <v>27.324</v>
      </c>
      <c r="W61" s="23" t="n">
        <f aca="false">'Qté 2027'!W61*$C61</f>
        <v>53.46</v>
      </c>
      <c r="X61" s="23" t="n">
        <f aca="false">'Qté 2027'!X61*$C61</f>
        <v>27.324</v>
      </c>
      <c r="Y61" s="23" t="n">
        <f aca="false">'Qté 2027'!Y61*$C61</f>
        <v>0</v>
      </c>
      <c r="Z61" s="23" t="n">
        <f aca="false">'Qté 2027'!Z61*$C61</f>
        <v>0</v>
      </c>
      <c r="AA61" s="23" t="n">
        <f aca="false">'Qté 2027'!AA61*$C61</f>
        <v>10.692</v>
      </c>
      <c r="AB61" s="23" t="n">
        <f aca="false">'Qté 2027'!AB61*$C61</f>
        <v>21.384</v>
      </c>
      <c r="AC61" s="23" t="n">
        <f aca="false">'Qté 2027'!AC61*$C61</f>
        <v>10.692</v>
      </c>
      <c r="AD61" s="23" t="n">
        <f aca="false">'Qté 2027'!AD61*$C61</f>
        <v>0</v>
      </c>
      <c r="AE61" s="23" t="n">
        <f aca="false">'Qté 2027'!AE61*$C61</f>
        <v>0</v>
      </c>
      <c r="AF61" s="23" t="n">
        <f aca="false">'Qté 2027'!AF61*$C61</f>
        <v>0</v>
      </c>
      <c r="AG61" s="23" t="n">
        <f aca="false">'Qté 2027'!AG61*$C61</f>
        <v>0</v>
      </c>
      <c r="AH61" s="23" t="n">
        <f aca="false">'Qté 2027'!AH61*$C61</f>
        <v>0</v>
      </c>
      <c r="AI61" s="23" t="n">
        <f aca="false">'Qté 2027'!AI61*$C61</f>
        <v>0</v>
      </c>
      <c r="AJ61" s="23" t="n">
        <f aca="false">'Qté 2027'!AJ61*$C61</f>
        <v>0</v>
      </c>
      <c r="AK61" s="23" t="n">
        <f aca="false">'Qté 2027'!AK61*$C61</f>
        <v>0</v>
      </c>
      <c r="AL61" s="23" t="n">
        <f aca="false">'Qté 2027'!AL61*$C61</f>
        <v>0</v>
      </c>
      <c r="AM61" s="23" t="n">
        <f aca="false">'Qté 2027'!AM61*$C61</f>
        <v>0</v>
      </c>
      <c r="AN61" s="23" t="n">
        <f aca="false">'Qté 2027'!AN61*$C61</f>
        <v>0</v>
      </c>
      <c r="AO61" s="23" t="n">
        <f aca="false">'Qté 2027'!AO61*$C61</f>
        <v>0</v>
      </c>
      <c r="AP61" s="23" t="n">
        <f aca="false">'Qté 2027'!AP61*$C61</f>
        <v>0</v>
      </c>
      <c r="AQ61" s="23" t="n">
        <f aca="false">'Qté 2027'!AQ61*$C61</f>
        <v>0</v>
      </c>
      <c r="AR61" s="23" t="n">
        <f aca="false">'Qté 2027'!AR61*$C61</f>
        <v>0</v>
      </c>
      <c r="AS61" s="23" t="n">
        <f aca="false">'Qté 2027'!AS61*$C61</f>
        <v>0</v>
      </c>
      <c r="AT61" s="23" t="n">
        <f aca="false">'Qté 2027'!AT61*$C61</f>
        <v>0</v>
      </c>
      <c r="AU61" s="23" t="n">
        <f aca="false">'Qté 2027'!AU61*$C61</f>
        <v>0</v>
      </c>
      <c r="AV61" s="23" t="n">
        <f aca="false">'Qté 2027'!AV61*$C61</f>
        <v>0</v>
      </c>
      <c r="AW61" s="23" t="n">
        <f aca="false">'Qté 2027'!AW61*$C61</f>
        <v>0</v>
      </c>
      <c r="AX61" s="23" t="n">
        <f aca="false">'Qté 2027'!AX61*$C61</f>
        <v>0</v>
      </c>
      <c r="AY61" s="23" t="n">
        <f aca="false">'Qté 2027'!AY61*$C61</f>
        <v>0</v>
      </c>
      <c r="AZ61" s="23" t="n">
        <f aca="false">'Qté 2027'!AZ61*$C61</f>
        <v>0</v>
      </c>
      <c r="BA61" s="23" t="n">
        <f aca="false">'Qté 2027'!BA61*$C61</f>
        <v>0</v>
      </c>
      <c r="BB61" s="23" t="n">
        <f aca="false">'Qté 2027'!BB61*$C61</f>
        <v>0</v>
      </c>
      <c r="BC61" s="23" t="n">
        <f aca="false">'Qté 2027'!BC61*$C61</f>
        <v>0</v>
      </c>
      <c r="BD61" s="15" t="n">
        <f aca="false">SUM(D61:BC61)</f>
        <v>150.876</v>
      </c>
    </row>
    <row r="62" customFormat="false" ht="15" hidden="false" customHeight="false" outlineLevel="0" collapsed="false">
      <c r="A62" s="5" t="s">
        <v>238</v>
      </c>
      <c r="B62" s="5" t="s">
        <v>69</v>
      </c>
      <c r="C62" s="22" t="n">
        <v>13.6</v>
      </c>
      <c r="D62" s="23" t="n">
        <f aca="false">'Qté 2027'!D62*$C62</f>
        <v>0</v>
      </c>
      <c r="E62" s="23" t="n">
        <f aca="false">'Qté 2027'!E62*$C62</f>
        <v>0</v>
      </c>
      <c r="F62" s="23" t="n">
        <f aca="false">'Qté 2027'!F62*$C62</f>
        <v>0</v>
      </c>
      <c r="G62" s="23" t="n">
        <f aca="false">'Qté 2027'!G62*$C62</f>
        <v>0</v>
      </c>
      <c r="H62" s="23" t="n">
        <f aca="false">'Qté 2027'!H62*$C62</f>
        <v>0</v>
      </c>
      <c r="I62" s="23" t="n">
        <f aca="false">'Qté 2027'!I62*$C62</f>
        <v>0</v>
      </c>
      <c r="J62" s="23" t="n">
        <f aca="false">'Qté 2027'!J62*$C62</f>
        <v>0</v>
      </c>
      <c r="K62" s="23" t="n">
        <f aca="false">'Qté 2027'!K62*$C62</f>
        <v>0</v>
      </c>
      <c r="L62" s="23" t="n">
        <f aca="false">'Qté 2027'!L62*$C62</f>
        <v>0</v>
      </c>
      <c r="M62" s="23" t="n">
        <f aca="false">'Qté 2027'!M62*$C62</f>
        <v>0</v>
      </c>
      <c r="N62" s="23" t="n">
        <f aca="false">'Qté 2027'!N62*$C62</f>
        <v>0</v>
      </c>
      <c r="O62" s="23" t="n">
        <f aca="false">'Qté 2027'!O62*$C62</f>
        <v>0</v>
      </c>
      <c r="P62" s="23" t="n">
        <f aca="false">'Qté 2027'!P62*$C62</f>
        <v>0</v>
      </c>
      <c r="Q62" s="23" t="n">
        <f aca="false">'Qté 2027'!Q62*$C62</f>
        <v>0</v>
      </c>
      <c r="R62" s="23" t="n">
        <f aca="false">'Qté 2027'!R62*$C62</f>
        <v>0</v>
      </c>
      <c r="S62" s="23" t="n">
        <f aca="false">'Qté 2027'!S62*$C62</f>
        <v>0</v>
      </c>
      <c r="T62" s="23" t="n">
        <f aca="false">'Qté 2027'!T62*$C62</f>
        <v>0</v>
      </c>
      <c r="U62" s="23" t="n">
        <f aca="false">'Qté 2027'!U62*$C62</f>
        <v>0</v>
      </c>
      <c r="V62" s="23" t="n">
        <f aca="false">'Qté 2027'!V62*$C62</f>
        <v>0</v>
      </c>
      <c r="W62" s="23" t="n">
        <f aca="false">'Qté 2027'!W62*$C62</f>
        <v>0</v>
      </c>
      <c r="X62" s="23" t="n">
        <f aca="false">'Qté 2027'!X62*$C62</f>
        <v>6.12</v>
      </c>
      <c r="Y62" s="23" t="n">
        <f aca="false">'Qté 2027'!Y62*$C62</f>
        <v>13.328</v>
      </c>
      <c r="Z62" s="23" t="n">
        <f aca="false">'Qté 2027'!Z62*$C62</f>
        <v>9.384</v>
      </c>
      <c r="AA62" s="23" t="n">
        <f aca="false">'Qté 2027'!AA62*$C62</f>
        <v>4.352</v>
      </c>
      <c r="AB62" s="23" t="n">
        <f aca="false">'Qté 2027'!AB62*$C62</f>
        <v>9.656</v>
      </c>
      <c r="AC62" s="23" t="n">
        <f aca="false">'Qté 2027'!AC62*$C62</f>
        <v>17.272</v>
      </c>
      <c r="AD62" s="23" t="n">
        <f aca="false">'Qté 2027'!AD62*$C62</f>
        <v>14.688</v>
      </c>
      <c r="AE62" s="23" t="n">
        <f aca="false">'Qté 2027'!AE62*$C62</f>
        <v>8.024</v>
      </c>
      <c r="AF62" s="23" t="n">
        <f aca="false">'Qté 2027'!AF62*$C62</f>
        <v>5.168</v>
      </c>
      <c r="AG62" s="23" t="n">
        <f aca="false">'Qté 2027'!AG62*$C62</f>
        <v>3.4</v>
      </c>
      <c r="AH62" s="23" t="n">
        <f aca="false">'Qté 2027'!AH62*$C62</f>
        <v>6.12</v>
      </c>
      <c r="AI62" s="23" t="n">
        <f aca="false">'Qté 2027'!AI62*$C62</f>
        <v>12.648</v>
      </c>
      <c r="AJ62" s="23" t="n">
        <f aca="false">'Qté 2027'!AJ62*$C62</f>
        <v>10.336</v>
      </c>
      <c r="AK62" s="23" t="n">
        <f aca="false">'Qté 2027'!AK62*$C62</f>
        <v>6.12</v>
      </c>
      <c r="AL62" s="23" t="n">
        <f aca="false">'Qté 2027'!AL62*$C62</f>
        <v>7.888</v>
      </c>
      <c r="AM62" s="23" t="n">
        <f aca="false">'Qté 2027'!AM62*$C62</f>
        <v>8.296</v>
      </c>
      <c r="AN62" s="23" t="n">
        <f aca="false">'Qté 2027'!AN62*$C62</f>
        <v>5.44</v>
      </c>
      <c r="AO62" s="23" t="n">
        <f aca="false">'Qté 2027'!AO62*$C62</f>
        <v>0.408</v>
      </c>
      <c r="AP62" s="23" t="n">
        <f aca="false">'Qté 2027'!AP62*$C62</f>
        <v>0</v>
      </c>
      <c r="AQ62" s="23" t="n">
        <f aca="false">'Qté 2027'!AQ62*$C62</f>
        <v>0</v>
      </c>
      <c r="AR62" s="23" t="n">
        <f aca="false">'Qté 2027'!AR62*$C62</f>
        <v>0</v>
      </c>
      <c r="AS62" s="23" t="n">
        <f aca="false">'Qté 2027'!AS62*$C62</f>
        <v>0</v>
      </c>
      <c r="AT62" s="23" t="n">
        <f aca="false">'Qté 2027'!AT62*$C62</f>
        <v>0</v>
      </c>
      <c r="AU62" s="23" t="n">
        <f aca="false">'Qté 2027'!AU62*$C62</f>
        <v>0</v>
      </c>
      <c r="AV62" s="23" t="n">
        <f aca="false">'Qté 2027'!AV62*$C62</f>
        <v>0</v>
      </c>
      <c r="AW62" s="23" t="n">
        <f aca="false">'Qté 2027'!AW62*$C62</f>
        <v>0</v>
      </c>
      <c r="AX62" s="23" t="n">
        <f aca="false">'Qté 2027'!AX62*$C62</f>
        <v>0</v>
      </c>
      <c r="AY62" s="23" t="n">
        <f aca="false">'Qté 2027'!AY62*$C62</f>
        <v>0</v>
      </c>
      <c r="AZ62" s="23" t="n">
        <f aca="false">'Qté 2027'!AZ62*$C62</f>
        <v>0</v>
      </c>
      <c r="BA62" s="23" t="n">
        <f aca="false">'Qté 2027'!BA62*$C62</f>
        <v>0</v>
      </c>
      <c r="BB62" s="23" t="n">
        <f aca="false">'Qté 2027'!BB62*$C62</f>
        <v>0</v>
      </c>
      <c r="BC62" s="23" t="n">
        <f aca="false">'Qté 2027'!BC62*$C62</f>
        <v>0</v>
      </c>
      <c r="BD62" s="15" t="n">
        <f aca="false">SUM(D62:BC62)</f>
        <v>148.648</v>
      </c>
    </row>
    <row r="63" customFormat="false" ht="15" hidden="false" customHeight="false" outlineLevel="0" collapsed="false">
      <c r="A63" s="5" t="s">
        <v>239</v>
      </c>
      <c r="B63" s="5" t="s">
        <v>62</v>
      </c>
      <c r="C63" s="22" t="n">
        <v>32.29</v>
      </c>
      <c r="D63" s="23" t="n">
        <f aca="false">'Qté 2027'!D63*$C63</f>
        <v>0</v>
      </c>
      <c r="E63" s="23" t="n">
        <f aca="false">'Qté 2027'!E63*$C63</f>
        <v>0</v>
      </c>
      <c r="F63" s="23" t="n">
        <f aca="false">'Qté 2027'!F63*$C63</f>
        <v>0</v>
      </c>
      <c r="G63" s="23" t="n">
        <f aca="false">'Qté 2027'!G63*$C63</f>
        <v>0</v>
      </c>
      <c r="H63" s="23" t="n">
        <f aca="false">'Qté 2027'!H63*$C63</f>
        <v>0</v>
      </c>
      <c r="I63" s="23" t="n">
        <f aca="false">'Qté 2027'!I63*$C63</f>
        <v>0</v>
      </c>
      <c r="J63" s="23" t="n">
        <f aca="false">'Qté 2027'!J63*$C63</f>
        <v>0</v>
      </c>
      <c r="K63" s="23" t="n">
        <f aca="false">'Qté 2027'!K63*$C63</f>
        <v>0</v>
      </c>
      <c r="L63" s="23" t="n">
        <f aca="false">'Qté 2027'!L63*$C63</f>
        <v>0</v>
      </c>
      <c r="M63" s="23" t="n">
        <f aca="false">'Qté 2027'!M63*$C63</f>
        <v>0</v>
      </c>
      <c r="N63" s="23" t="n">
        <f aca="false">'Qté 2027'!N63*$C63</f>
        <v>0</v>
      </c>
      <c r="O63" s="23" t="n">
        <f aca="false">'Qté 2027'!O63*$C63</f>
        <v>0</v>
      </c>
      <c r="P63" s="23" t="n">
        <f aca="false">'Qté 2027'!P63*$C63</f>
        <v>0</v>
      </c>
      <c r="Q63" s="23" t="n">
        <f aca="false">'Qté 2027'!Q63*$C63</f>
        <v>0</v>
      </c>
      <c r="R63" s="23" t="n">
        <f aca="false">'Qté 2027'!R63*$C63</f>
        <v>0</v>
      </c>
      <c r="S63" s="23" t="n">
        <f aca="false">'Qté 2027'!S63*$C63</f>
        <v>0</v>
      </c>
      <c r="T63" s="23" t="n">
        <f aca="false">'Qté 2027'!T63*$C63</f>
        <v>0</v>
      </c>
      <c r="U63" s="23" t="n">
        <f aca="false">'Qté 2027'!U63*$C63</f>
        <v>0</v>
      </c>
      <c r="V63" s="23" t="n">
        <f aca="false">'Qté 2027'!V63*$C63</f>
        <v>0.9687</v>
      </c>
      <c r="W63" s="23" t="n">
        <f aca="false">'Qté 2027'!W63*$C63</f>
        <v>5.1664</v>
      </c>
      <c r="X63" s="23" t="n">
        <f aca="false">'Qté 2027'!X63*$C63</f>
        <v>12.2702</v>
      </c>
      <c r="Y63" s="23" t="n">
        <f aca="false">'Qté 2027'!Y63*$C63</f>
        <v>13.8847</v>
      </c>
      <c r="Z63" s="23" t="n">
        <f aca="false">'Qté 2027'!Z63*$C63</f>
        <v>5.4893</v>
      </c>
      <c r="AA63" s="23" t="n">
        <f aca="false">'Qté 2027'!AA63*$C63</f>
        <v>5.1664</v>
      </c>
      <c r="AB63" s="23" t="n">
        <f aca="false">'Qté 2027'!AB63*$C63</f>
        <v>10.3328</v>
      </c>
      <c r="AC63" s="23" t="n">
        <f aca="false">'Qté 2027'!AC63*$C63</f>
        <v>10.3328</v>
      </c>
      <c r="AD63" s="23" t="n">
        <f aca="false">'Qté 2027'!AD63*$C63</f>
        <v>10.3328</v>
      </c>
      <c r="AE63" s="23" t="n">
        <f aca="false">'Qté 2027'!AE63*$C63</f>
        <v>16.4679</v>
      </c>
      <c r="AF63" s="23" t="n">
        <f aca="false">'Qté 2027'!AF63*$C63</f>
        <v>22.603</v>
      </c>
      <c r="AG63" s="23" t="n">
        <f aca="false">'Qté 2027'!AG63*$C63</f>
        <v>11.3015</v>
      </c>
      <c r="AH63" s="23" t="n">
        <f aca="false">'Qté 2027'!AH63*$C63</f>
        <v>0</v>
      </c>
      <c r="AI63" s="23" t="n">
        <f aca="false">'Qté 2027'!AI63*$C63</f>
        <v>0</v>
      </c>
      <c r="AJ63" s="23" t="n">
        <f aca="false">'Qté 2027'!AJ63*$C63</f>
        <v>3.8748</v>
      </c>
      <c r="AK63" s="23" t="n">
        <f aca="false">'Qté 2027'!AK63*$C63</f>
        <v>9.0412</v>
      </c>
      <c r="AL63" s="23" t="n">
        <f aca="false">'Qté 2027'!AL63*$C63</f>
        <v>7.1038</v>
      </c>
      <c r="AM63" s="23" t="n">
        <f aca="false">'Qté 2027'!AM63*$C63</f>
        <v>1.6145</v>
      </c>
      <c r="AN63" s="23" t="n">
        <f aca="false">'Qté 2027'!AN63*$C63</f>
        <v>0</v>
      </c>
      <c r="AO63" s="23" t="n">
        <f aca="false">'Qté 2027'!AO63*$C63</f>
        <v>0</v>
      </c>
      <c r="AP63" s="23" t="n">
        <f aca="false">'Qté 2027'!AP63*$C63</f>
        <v>0</v>
      </c>
      <c r="AQ63" s="23" t="n">
        <f aca="false">'Qté 2027'!AQ63*$C63</f>
        <v>0</v>
      </c>
      <c r="AR63" s="23" t="n">
        <f aca="false">'Qté 2027'!AR63*$C63</f>
        <v>0</v>
      </c>
      <c r="AS63" s="23" t="n">
        <f aca="false">'Qté 2027'!AS63*$C63</f>
        <v>0</v>
      </c>
      <c r="AT63" s="23" t="n">
        <f aca="false">'Qté 2027'!AT63*$C63</f>
        <v>0</v>
      </c>
      <c r="AU63" s="23" t="n">
        <f aca="false">'Qté 2027'!AU63*$C63</f>
        <v>0</v>
      </c>
      <c r="AV63" s="23" t="n">
        <f aca="false">'Qté 2027'!AV63*$C63</f>
        <v>0</v>
      </c>
      <c r="AW63" s="23" t="n">
        <f aca="false">'Qté 2027'!AW63*$C63</f>
        <v>0</v>
      </c>
      <c r="AX63" s="23" t="n">
        <f aca="false">'Qté 2027'!AX63*$C63</f>
        <v>0</v>
      </c>
      <c r="AY63" s="23" t="n">
        <f aca="false">'Qté 2027'!AY63*$C63</f>
        <v>0</v>
      </c>
      <c r="AZ63" s="23" t="n">
        <f aca="false">'Qté 2027'!AZ63*$C63</f>
        <v>0</v>
      </c>
      <c r="BA63" s="23" t="n">
        <f aca="false">'Qté 2027'!BA63*$C63</f>
        <v>0</v>
      </c>
      <c r="BB63" s="23" t="n">
        <f aca="false">'Qté 2027'!BB63*$C63</f>
        <v>0</v>
      </c>
      <c r="BC63" s="23" t="n">
        <f aca="false">'Qté 2027'!BC63*$C63</f>
        <v>0</v>
      </c>
      <c r="BD63" s="15" t="n">
        <f aca="false">SUM(D63:BC63)</f>
        <v>145.9508</v>
      </c>
    </row>
    <row r="64" customFormat="false" ht="15" hidden="false" customHeight="false" outlineLevel="0" collapsed="false">
      <c r="A64" s="5" t="s">
        <v>240</v>
      </c>
      <c r="B64" s="5" t="s">
        <v>69</v>
      </c>
      <c r="C64" s="22" t="n">
        <v>48</v>
      </c>
      <c r="D64" s="23" t="n">
        <f aca="false">'Qté 2027'!D64*$C64</f>
        <v>0</v>
      </c>
      <c r="E64" s="23" t="n">
        <f aca="false">'Qté 2027'!E64*$C64</f>
        <v>0</v>
      </c>
      <c r="F64" s="23" t="n">
        <f aca="false">'Qté 2027'!F64*$C64</f>
        <v>0</v>
      </c>
      <c r="G64" s="23" t="n">
        <f aca="false">'Qté 2027'!G64*$C64</f>
        <v>0</v>
      </c>
      <c r="H64" s="23" t="n">
        <f aca="false">'Qté 2027'!H64*$C64</f>
        <v>0</v>
      </c>
      <c r="I64" s="23" t="n">
        <f aca="false">'Qté 2027'!I64*$C64</f>
        <v>0</v>
      </c>
      <c r="J64" s="23" t="n">
        <f aca="false">'Qté 2027'!J64*$C64</f>
        <v>0</v>
      </c>
      <c r="K64" s="23" t="n">
        <f aca="false">'Qté 2027'!K64*$C64</f>
        <v>0</v>
      </c>
      <c r="L64" s="23" t="n">
        <f aca="false">'Qté 2027'!L64*$C64</f>
        <v>0</v>
      </c>
      <c r="M64" s="23" t="n">
        <f aca="false">'Qté 2027'!M64*$C64</f>
        <v>0</v>
      </c>
      <c r="N64" s="23" t="n">
        <f aca="false">'Qté 2027'!N64*$C64</f>
        <v>0</v>
      </c>
      <c r="O64" s="23" t="n">
        <f aca="false">'Qté 2027'!O64*$C64</f>
        <v>0</v>
      </c>
      <c r="P64" s="23" t="n">
        <f aca="false">'Qté 2027'!P64*$C64</f>
        <v>0</v>
      </c>
      <c r="Q64" s="23" t="n">
        <f aca="false">'Qté 2027'!Q64*$C64</f>
        <v>0</v>
      </c>
      <c r="R64" s="23" t="n">
        <f aca="false">'Qté 2027'!R64*$C64</f>
        <v>0</v>
      </c>
      <c r="S64" s="23" t="n">
        <f aca="false">'Qté 2027'!S64*$C64</f>
        <v>0</v>
      </c>
      <c r="T64" s="23" t="n">
        <f aca="false">'Qté 2027'!T64*$C64</f>
        <v>2.88</v>
      </c>
      <c r="U64" s="23" t="n">
        <f aca="false">'Qté 2027'!U64*$C64</f>
        <v>5.28</v>
      </c>
      <c r="V64" s="23" t="n">
        <f aca="false">'Qté 2027'!V64*$C64</f>
        <v>6.72</v>
      </c>
      <c r="W64" s="23" t="n">
        <f aca="false">'Qté 2027'!W64*$C64</f>
        <v>11.52</v>
      </c>
      <c r="X64" s="23" t="n">
        <f aca="false">'Qté 2027'!X64*$C64</f>
        <v>15.36</v>
      </c>
      <c r="Y64" s="23" t="n">
        <f aca="false">'Qté 2027'!Y64*$C64</f>
        <v>15.36</v>
      </c>
      <c r="Z64" s="23" t="n">
        <f aca="false">'Qté 2027'!Z64*$C64</f>
        <v>11.52</v>
      </c>
      <c r="AA64" s="23" t="n">
        <f aca="false">'Qté 2027'!AA64*$C64</f>
        <v>3.84</v>
      </c>
      <c r="AB64" s="23" t="n">
        <f aca="false">'Qté 2027'!AB64*$C64</f>
        <v>7.68</v>
      </c>
      <c r="AC64" s="23" t="n">
        <f aca="false">'Qté 2027'!AC64*$C64</f>
        <v>15.36</v>
      </c>
      <c r="AD64" s="23" t="n">
        <f aca="false">'Qté 2027'!AD64*$C64</f>
        <v>7.68</v>
      </c>
      <c r="AE64" s="23" t="n">
        <f aca="false">'Qté 2027'!AE64*$C64</f>
        <v>0</v>
      </c>
      <c r="AF64" s="23" t="n">
        <f aca="false">'Qté 2027'!AF64*$C64</f>
        <v>0</v>
      </c>
      <c r="AG64" s="23" t="n">
        <f aca="false">'Qté 2027'!AG64*$C64</f>
        <v>0</v>
      </c>
      <c r="AH64" s="23" t="n">
        <f aca="false">'Qté 2027'!AH64*$C64</f>
        <v>5.76</v>
      </c>
      <c r="AI64" s="23" t="n">
        <f aca="false">'Qté 2027'!AI64*$C64</f>
        <v>11.04</v>
      </c>
      <c r="AJ64" s="23" t="n">
        <f aca="false">'Qté 2027'!AJ64*$C64</f>
        <v>5.76</v>
      </c>
      <c r="AK64" s="23" t="n">
        <f aca="false">'Qté 2027'!AK64*$C64</f>
        <v>0</v>
      </c>
      <c r="AL64" s="23" t="n">
        <f aca="false">'Qté 2027'!AL64*$C64</f>
        <v>0</v>
      </c>
      <c r="AM64" s="23" t="n">
        <f aca="false">'Qté 2027'!AM64*$C64</f>
        <v>0</v>
      </c>
      <c r="AN64" s="23" t="n">
        <f aca="false">'Qté 2027'!AN64*$C64</f>
        <v>0</v>
      </c>
      <c r="AO64" s="23" t="n">
        <f aca="false">'Qté 2027'!AO64*$C64</f>
        <v>0</v>
      </c>
      <c r="AP64" s="23" t="n">
        <f aca="false">'Qté 2027'!AP64*$C64</f>
        <v>0</v>
      </c>
      <c r="AQ64" s="23" t="n">
        <f aca="false">'Qté 2027'!AQ64*$C64</f>
        <v>0</v>
      </c>
      <c r="AR64" s="23" t="n">
        <f aca="false">'Qté 2027'!AR64*$C64</f>
        <v>0</v>
      </c>
      <c r="AS64" s="23" t="n">
        <f aca="false">'Qté 2027'!AS64*$C64</f>
        <v>0</v>
      </c>
      <c r="AT64" s="23" t="n">
        <f aca="false">'Qté 2027'!AT64*$C64</f>
        <v>0</v>
      </c>
      <c r="AU64" s="23" t="n">
        <f aca="false">'Qté 2027'!AU64*$C64</f>
        <v>0</v>
      </c>
      <c r="AV64" s="23" t="n">
        <f aca="false">'Qté 2027'!AV64*$C64</f>
        <v>3.84</v>
      </c>
      <c r="AW64" s="23" t="n">
        <f aca="false">'Qté 2027'!AW64*$C64</f>
        <v>8.16</v>
      </c>
      <c r="AX64" s="23" t="n">
        <f aca="false">'Qté 2027'!AX64*$C64</f>
        <v>3.84</v>
      </c>
      <c r="AY64" s="23" t="n">
        <f aca="false">'Qté 2027'!AY64*$C64</f>
        <v>0</v>
      </c>
      <c r="AZ64" s="23" t="n">
        <f aca="false">'Qté 2027'!AZ64*$C64</f>
        <v>0</v>
      </c>
      <c r="BA64" s="23" t="n">
        <f aca="false">'Qté 2027'!BA64*$C64</f>
        <v>0</v>
      </c>
      <c r="BB64" s="23" t="n">
        <f aca="false">'Qté 2027'!BB64*$C64</f>
        <v>0</v>
      </c>
      <c r="BC64" s="23" t="n">
        <f aca="false">'Qté 2027'!BC64*$C64</f>
        <v>0</v>
      </c>
      <c r="BD64" s="15" t="n">
        <f aca="false">SUM(D64:BC64)</f>
        <v>141.6</v>
      </c>
    </row>
    <row r="65" customFormat="false" ht="15" hidden="false" customHeight="false" outlineLevel="0" collapsed="false">
      <c r="A65" s="5" t="s">
        <v>241</v>
      </c>
      <c r="B65" s="5" t="s">
        <v>62</v>
      </c>
      <c r="C65" s="22" t="n">
        <v>15</v>
      </c>
      <c r="D65" s="23" t="n">
        <f aca="false">'Qté 2027'!D65*$C65</f>
        <v>0</v>
      </c>
      <c r="E65" s="23" t="n">
        <f aca="false">'Qté 2027'!E65*$C65</f>
        <v>0</v>
      </c>
      <c r="F65" s="23" t="n">
        <f aca="false">'Qté 2027'!F65*$C65</f>
        <v>0</v>
      </c>
      <c r="G65" s="23" t="n">
        <f aca="false">'Qté 2027'!G65*$C65</f>
        <v>0</v>
      </c>
      <c r="H65" s="23" t="n">
        <f aca="false">'Qté 2027'!H65*$C65</f>
        <v>0</v>
      </c>
      <c r="I65" s="23" t="n">
        <f aca="false">'Qté 2027'!I65*$C65</f>
        <v>0</v>
      </c>
      <c r="J65" s="23" t="n">
        <f aca="false">'Qté 2027'!J65*$C65</f>
        <v>0</v>
      </c>
      <c r="K65" s="23" t="n">
        <f aca="false">'Qté 2027'!K65*$C65</f>
        <v>0</v>
      </c>
      <c r="L65" s="23" t="n">
        <f aca="false">'Qté 2027'!L65*$C65</f>
        <v>0</v>
      </c>
      <c r="M65" s="23" t="n">
        <f aca="false">'Qté 2027'!M65*$C65</f>
        <v>0</v>
      </c>
      <c r="N65" s="23" t="n">
        <f aca="false">'Qté 2027'!N65*$C65</f>
        <v>0</v>
      </c>
      <c r="O65" s="23" t="n">
        <f aca="false">'Qté 2027'!O65*$C65</f>
        <v>1.2</v>
      </c>
      <c r="P65" s="23" t="n">
        <f aca="false">'Qté 2027'!P65*$C65</f>
        <v>2.4</v>
      </c>
      <c r="Q65" s="23" t="n">
        <f aca="false">'Qté 2027'!Q65*$C65</f>
        <v>2.55</v>
      </c>
      <c r="R65" s="23" t="n">
        <f aca="false">'Qté 2027'!R65*$C65</f>
        <v>2.7</v>
      </c>
      <c r="S65" s="23" t="n">
        <f aca="false">'Qté 2027'!S65*$C65</f>
        <v>1.35</v>
      </c>
      <c r="T65" s="23" t="n">
        <f aca="false">'Qté 2027'!T65*$C65</f>
        <v>0</v>
      </c>
      <c r="U65" s="23" t="n">
        <f aca="false">'Qté 2027'!U65*$C65</f>
        <v>1.2</v>
      </c>
      <c r="V65" s="23" t="n">
        <f aca="false">'Qté 2027'!V65*$C65</f>
        <v>4.8</v>
      </c>
      <c r="W65" s="23" t="n">
        <f aca="false">'Qté 2027'!W65*$C65</f>
        <v>6</v>
      </c>
      <c r="X65" s="23" t="n">
        <f aca="false">'Qté 2027'!X65*$C65</f>
        <v>2.4</v>
      </c>
      <c r="Y65" s="23" t="n">
        <f aca="false">'Qté 2027'!Y65*$C65</f>
        <v>1.2</v>
      </c>
      <c r="Z65" s="23" t="n">
        <f aca="false">'Qté 2027'!Z65*$C65</f>
        <v>6.15</v>
      </c>
      <c r="AA65" s="23" t="n">
        <f aca="false">'Qté 2027'!AA65*$C65</f>
        <v>9.9</v>
      </c>
      <c r="AB65" s="23" t="n">
        <f aca="false">'Qté 2027'!AB65*$C65</f>
        <v>10.05</v>
      </c>
      <c r="AC65" s="23" t="n">
        <f aca="false">'Qté 2027'!AC65*$C65</f>
        <v>12.6</v>
      </c>
      <c r="AD65" s="23" t="n">
        <f aca="false">'Qté 2027'!AD65*$C65</f>
        <v>12.3</v>
      </c>
      <c r="AE65" s="23" t="n">
        <f aca="false">'Qté 2027'!AE65*$C65</f>
        <v>11.55</v>
      </c>
      <c r="AF65" s="23" t="n">
        <f aca="false">'Qté 2027'!AF65*$C65</f>
        <v>13.5</v>
      </c>
      <c r="AG65" s="23" t="n">
        <f aca="false">'Qté 2027'!AG65*$C65</f>
        <v>8.7</v>
      </c>
      <c r="AH65" s="23" t="n">
        <f aca="false">'Qté 2027'!AH65*$C65</f>
        <v>5.25</v>
      </c>
      <c r="AI65" s="23" t="n">
        <f aca="false">'Qté 2027'!AI65*$C65</f>
        <v>8.7</v>
      </c>
      <c r="AJ65" s="23" t="n">
        <f aca="false">'Qté 2027'!AJ65*$C65</f>
        <v>7.05</v>
      </c>
      <c r="AK65" s="23" t="n">
        <f aca="false">'Qté 2027'!AK65*$C65</f>
        <v>1.8</v>
      </c>
      <c r="AL65" s="23" t="n">
        <f aca="false">'Qté 2027'!AL65*$C65</f>
        <v>1.8</v>
      </c>
      <c r="AM65" s="23" t="n">
        <f aca="false">'Qté 2027'!AM65*$C65</f>
        <v>3.45</v>
      </c>
      <c r="AN65" s="23" t="n">
        <f aca="false">'Qté 2027'!AN65*$C65</f>
        <v>1.8</v>
      </c>
      <c r="AO65" s="23" t="n">
        <f aca="false">'Qté 2027'!AO65*$C65</f>
        <v>0</v>
      </c>
      <c r="AP65" s="23" t="n">
        <f aca="false">'Qté 2027'!AP65*$C65</f>
        <v>0</v>
      </c>
      <c r="AQ65" s="23" t="n">
        <f aca="false">'Qté 2027'!AQ65*$C65</f>
        <v>0</v>
      </c>
      <c r="AR65" s="23" t="n">
        <f aca="false">'Qté 2027'!AR65*$C65</f>
        <v>0</v>
      </c>
      <c r="AS65" s="23" t="n">
        <f aca="false">'Qté 2027'!AS65*$C65</f>
        <v>0</v>
      </c>
      <c r="AT65" s="23" t="n">
        <f aca="false">'Qté 2027'!AT65*$C65</f>
        <v>0</v>
      </c>
      <c r="AU65" s="23" t="n">
        <f aca="false">'Qté 2027'!AU65*$C65</f>
        <v>0</v>
      </c>
      <c r="AV65" s="23" t="n">
        <f aca="false">'Qté 2027'!AV65*$C65</f>
        <v>0</v>
      </c>
      <c r="AW65" s="23" t="n">
        <f aca="false">'Qté 2027'!AW65*$C65</f>
        <v>0</v>
      </c>
      <c r="AX65" s="23" t="n">
        <f aca="false">'Qté 2027'!AX65*$C65</f>
        <v>0</v>
      </c>
      <c r="AY65" s="23" t="n">
        <f aca="false">'Qté 2027'!AY65*$C65</f>
        <v>0</v>
      </c>
      <c r="AZ65" s="23" t="n">
        <f aca="false">'Qté 2027'!AZ65*$C65</f>
        <v>0</v>
      </c>
      <c r="BA65" s="23" t="n">
        <f aca="false">'Qté 2027'!BA65*$C65</f>
        <v>0</v>
      </c>
      <c r="BB65" s="23" t="n">
        <f aca="false">'Qté 2027'!BB65*$C65</f>
        <v>0</v>
      </c>
      <c r="BC65" s="23" t="n">
        <f aca="false">'Qté 2027'!BC65*$C65</f>
        <v>0</v>
      </c>
      <c r="BD65" s="15" t="n">
        <f aca="false">SUM(D65:BC65)</f>
        <v>140.4</v>
      </c>
    </row>
    <row r="66" customFormat="false" ht="15" hidden="false" customHeight="false" outlineLevel="0" collapsed="false">
      <c r="A66" s="5" t="s">
        <v>242</v>
      </c>
      <c r="B66" s="5" t="s">
        <v>62</v>
      </c>
      <c r="C66" s="22" t="n">
        <v>80.94</v>
      </c>
      <c r="D66" s="23" t="n">
        <f aca="false">'Qté 2027'!D66*$C66</f>
        <v>0</v>
      </c>
      <c r="E66" s="23" t="n">
        <f aca="false">'Qté 2027'!E66*$C66</f>
        <v>0</v>
      </c>
      <c r="F66" s="23" t="n">
        <f aca="false">'Qté 2027'!F66*$C66</f>
        <v>0</v>
      </c>
      <c r="G66" s="23" t="n">
        <f aca="false">'Qté 2027'!G66*$C66</f>
        <v>0</v>
      </c>
      <c r="H66" s="23" t="n">
        <f aca="false">'Qté 2027'!H66*$C66</f>
        <v>0</v>
      </c>
      <c r="I66" s="23" t="n">
        <f aca="false">'Qté 2027'!I66*$C66</f>
        <v>0</v>
      </c>
      <c r="J66" s="23" t="n">
        <f aca="false">'Qté 2027'!J66*$C66</f>
        <v>0</v>
      </c>
      <c r="K66" s="23" t="n">
        <f aca="false">'Qté 2027'!K66*$C66</f>
        <v>0</v>
      </c>
      <c r="L66" s="23" t="n">
        <f aca="false">'Qté 2027'!L66*$C66</f>
        <v>0</v>
      </c>
      <c r="M66" s="23" t="n">
        <f aca="false">'Qté 2027'!M66*$C66</f>
        <v>0</v>
      </c>
      <c r="N66" s="23" t="n">
        <f aca="false">'Qté 2027'!N66*$C66</f>
        <v>0</v>
      </c>
      <c r="O66" s="23" t="n">
        <f aca="false">'Qté 2027'!O66*$C66</f>
        <v>0</v>
      </c>
      <c r="P66" s="23" t="n">
        <f aca="false">'Qté 2027'!P66*$C66</f>
        <v>0</v>
      </c>
      <c r="Q66" s="23" t="n">
        <f aca="false">'Qté 2027'!Q66*$C66</f>
        <v>0</v>
      </c>
      <c r="R66" s="23" t="n">
        <f aca="false">'Qté 2027'!R66*$C66</f>
        <v>0</v>
      </c>
      <c r="S66" s="23" t="n">
        <f aca="false">'Qté 2027'!S66*$C66</f>
        <v>0</v>
      </c>
      <c r="T66" s="23" t="n">
        <f aca="false">'Qté 2027'!T66*$C66</f>
        <v>4.8564</v>
      </c>
      <c r="U66" s="23" t="n">
        <f aca="false">'Qté 2027'!U66*$C66</f>
        <v>8.9034</v>
      </c>
      <c r="V66" s="23" t="n">
        <f aca="false">'Qté 2027'!V66*$C66</f>
        <v>4.8564</v>
      </c>
      <c r="W66" s="23" t="n">
        <f aca="false">'Qté 2027'!W66*$C66</f>
        <v>0</v>
      </c>
      <c r="X66" s="23" t="n">
        <f aca="false">'Qté 2027'!X66*$C66</f>
        <v>0</v>
      </c>
      <c r="Y66" s="23" t="n">
        <f aca="false">'Qté 2027'!Y66*$C66</f>
        <v>4.8564</v>
      </c>
      <c r="Z66" s="23" t="n">
        <f aca="false">'Qté 2027'!Z66*$C66</f>
        <v>8.9034</v>
      </c>
      <c r="AA66" s="23" t="n">
        <f aca="false">'Qté 2027'!AA66*$C66</f>
        <v>4.8564</v>
      </c>
      <c r="AB66" s="23" t="n">
        <f aca="false">'Qté 2027'!AB66*$C66</f>
        <v>4.8564</v>
      </c>
      <c r="AC66" s="23" t="n">
        <f aca="false">'Qté 2027'!AC66*$C66</f>
        <v>16.188</v>
      </c>
      <c r="AD66" s="23" t="n">
        <f aca="false">'Qté 2027'!AD66*$C66</f>
        <v>19.4256</v>
      </c>
      <c r="AE66" s="23" t="n">
        <f aca="false">'Qté 2027'!AE66*$C66</f>
        <v>7.2846</v>
      </c>
      <c r="AF66" s="23" t="n">
        <f aca="false">'Qté 2027'!AF66*$C66</f>
        <v>0</v>
      </c>
      <c r="AG66" s="23" t="n">
        <f aca="false">'Qté 2027'!AG66*$C66</f>
        <v>2.4282</v>
      </c>
      <c r="AH66" s="23" t="n">
        <f aca="false">'Qté 2027'!AH66*$C66</f>
        <v>5.6658</v>
      </c>
      <c r="AI66" s="23" t="n">
        <f aca="false">'Qté 2027'!AI66*$C66</f>
        <v>2.4282</v>
      </c>
      <c r="AJ66" s="23" t="n">
        <f aca="false">'Qté 2027'!AJ66*$C66</f>
        <v>6.4752</v>
      </c>
      <c r="AK66" s="23" t="n">
        <f aca="false">'Qté 2027'!AK66*$C66</f>
        <v>16.188</v>
      </c>
      <c r="AL66" s="23" t="n">
        <f aca="false">'Qté 2027'!AL66*$C66</f>
        <v>12.141</v>
      </c>
      <c r="AM66" s="23" t="n">
        <f aca="false">'Qté 2027'!AM66*$C66</f>
        <v>2.4282</v>
      </c>
      <c r="AN66" s="23" t="n">
        <f aca="false">'Qté 2027'!AN66*$C66</f>
        <v>0</v>
      </c>
      <c r="AO66" s="23" t="n">
        <f aca="false">'Qté 2027'!AO66*$C66</f>
        <v>0</v>
      </c>
      <c r="AP66" s="23" t="n">
        <f aca="false">'Qté 2027'!AP66*$C66</f>
        <v>0</v>
      </c>
      <c r="AQ66" s="23" t="n">
        <f aca="false">'Qté 2027'!AQ66*$C66</f>
        <v>0</v>
      </c>
      <c r="AR66" s="23" t="n">
        <f aca="false">'Qté 2027'!AR66*$C66</f>
        <v>0</v>
      </c>
      <c r="AS66" s="23" t="n">
        <f aca="false">'Qté 2027'!AS66*$C66</f>
        <v>0</v>
      </c>
      <c r="AT66" s="23" t="n">
        <f aca="false">'Qté 2027'!AT66*$C66</f>
        <v>0</v>
      </c>
      <c r="AU66" s="23" t="n">
        <f aca="false">'Qté 2027'!AU66*$C66</f>
        <v>0</v>
      </c>
      <c r="AV66" s="23" t="n">
        <f aca="false">'Qté 2027'!AV66*$C66</f>
        <v>0</v>
      </c>
      <c r="AW66" s="23" t="n">
        <f aca="false">'Qté 2027'!AW66*$C66</f>
        <v>0</v>
      </c>
      <c r="AX66" s="23" t="n">
        <f aca="false">'Qté 2027'!AX66*$C66</f>
        <v>0</v>
      </c>
      <c r="AY66" s="23" t="n">
        <f aca="false">'Qté 2027'!AY66*$C66</f>
        <v>0</v>
      </c>
      <c r="AZ66" s="23" t="n">
        <f aca="false">'Qté 2027'!AZ66*$C66</f>
        <v>0</v>
      </c>
      <c r="BA66" s="23" t="n">
        <f aca="false">'Qté 2027'!BA66*$C66</f>
        <v>0</v>
      </c>
      <c r="BB66" s="23" t="n">
        <f aca="false">'Qté 2027'!BB66*$C66</f>
        <v>0</v>
      </c>
      <c r="BC66" s="23" t="n">
        <f aca="false">'Qté 2027'!BC66*$C66</f>
        <v>0</v>
      </c>
      <c r="BD66" s="15" t="n">
        <f aca="false">SUM(D66:BC66)</f>
        <v>132.7416</v>
      </c>
    </row>
    <row r="67" customFormat="false" ht="15" hidden="false" customHeight="false" outlineLevel="0" collapsed="false">
      <c r="A67" s="5" t="s">
        <v>243</v>
      </c>
      <c r="B67" s="5" t="s">
        <v>62</v>
      </c>
      <c r="C67" s="22" t="n">
        <v>25</v>
      </c>
      <c r="D67" s="23" t="n">
        <f aca="false">'Qté 2027'!D67*$C67</f>
        <v>0</v>
      </c>
      <c r="E67" s="23" t="n">
        <f aca="false">'Qté 2027'!E67*$C67</f>
        <v>0</v>
      </c>
      <c r="F67" s="23" t="n">
        <f aca="false">'Qté 2027'!F67*$C67</f>
        <v>0</v>
      </c>
      <c r="G67" s="23" t="n">
        <f aca="false">'Qté 2027'!G67*$C67</f>
        <v>0</v>
      </c>
      <c r="H67" s="23" t="n">
        <f aca="false">'Qté 2027'!H67*$C67</f>
        <v>0</v>
      </c>
      <c r="I67" s="23" t="n">
        <f aca="false">'Qté 2027'!I67*$C67</f>
        <v>0</v>
      </c>
      <c r="J67" s="23" t="n">
        <f aca="false">'Qté 2027'!J67*$C67</f>
        <v>0</v>
      </c>
      <c r="K67" s="23" t="n">
        <f aca="false">'Qté 2027'!K67*$C67</f>
        <v>0</v>
      </c>
      <c r="L67" s="23" t="n">
        <f aca="false">'Qté 2027'!L67*$C67</f>
        <v>0</v>
      </c>
      <c r="M67" s="23" t="n">
        <f aca="false">'Qté 2027'!M67*$C67</f>
        <v>0</v>
      </c>
      <c r="N67" s="23" t="n">
        <f aca="false">'Qté 2027'!N67*$C67</f>
        <v>0</v>
      </c>
      <c r="O67" s="23" t="n">
        <f aca="false">'Qté 2027'!O67*$C67</f>
        <v>0</v>
      </c>
      <c r="P67" s="23" t="n">
        <f aca="false">'Qté 2027'!P67*$C67</f>
        <v>0</v>
      </c>
      <c r="Q67" s="23" t="n">
        <f aca="false">'Qté 2027'!Q67*$C67</f>
        <v>0</v>
      </c>
      <c r="R67" s="23" t="n">
        <f aca="false">'Qté 2027'!R67*$C67</f>
        <v>0</v>
      </c>
      <c r="S67" s="23" t="n">
        <f aca="false">'Qté 2027'!S67*$C67</f>
        <v>0</v>
      </c>
      <c r="T67" s="23" t="n">
        <f aca="false">'Qté 2027'!T67*$C67</f>
        <v>0</v>
      </c>
      <c r="U67" s="23" t="n">
        <f aca="false">'Qté 2027'!U67*$C67</f>
        <v>0</v>
      </c>
      <c r="V67" s="23" t="n">
        <f aca="false">'Qté 2027'!V67*$C67</f>
        <v>1.5</v>
      </c>
      <c r="W67" s="23" t="n">
        <f aca="false">'Qté 2027'!W67*$C67</f>
        <v>4.25</v>
      </c>
      <c r="X67" s="23" t="n">
        <f aca="false">'Qté 2027'!X67*$C67</f>
        <v>8.5</v>
      </c>
      <c r="Y67" s="23" t="n">
        <f aca="false">'Qté 2027'!Y67*$C67</f>
        <v>17</v>
      </c>
      <c r="Z67" s="23" t="n">
        <f aca="false">'Qté 2027'!Z67*$C67</f>
        <v>22.5</v>
      </c>
      <c r="AA67" s="23" t="n">
        <f aca="false">'Qté 2027'!AA67*$C67</f>
        <v>18.25</v>
      </c>
      <c r="AB67" s="23" t="n">
        <f aca="false">'Qté 2027'!AB67*$C67</f>
        <v>17</v>
      </c>
      <c r="AC67" s="23" t="n">
        <f aca="false">'Qté 2027'!AC67*$C67</f>
        <v>18.25</v>
      </c>
      <c r="AD67" s="23" t="n">
        <f aca="false">'Qté 2027'!AD67*$C67</f>
        <v>10</v>
      </c>
      <c r="AE67" s="23" t="n">
        <f aca="false">'Qté 2027'!AE67*$C67</f>
        <v>1.5</v>
      </c>
      <c r="AF67" s="23" t="n">
        <f aca="false">'Qté 2027'!AF67*$C67</f>
        <v>0</v>
      </c>
      <c r="AG67" s="23" t="n">
        <f aca="false">'Qté 2027'!AG67*$C67</f>
        <v>0</v>
      </c>
      <c r="AH67" s="23" t="n">
        <f aca="false">'Qté 2027'!AH67*$C67</f>
        <v>0</v>
      </c>
      <c r="AI67" s="23" t="n">
        <f aca="false">'Qté 2027'!AI67*$C67</f>
        <v>0</v>
      </c>
      <c r="AJ67" s="23" t="n">
        <f aca="false">'Qté 2027'!AJ67*$C67</f>
        <v>0</v>
      </c>
      <c r="AK67" s="23" t="n">
        <f aca="false">'Qté 2027'!AK67*$C67</f>
        <v>0</v>
      </c>
      <c r="AL67" s="23" t="n">
        <f aca="false">'Qté 2027'!AL67*$C67</f>
        <v>0</v>
      </c>
      <c r="AM67" s="23" t="n">
        <f aca="false">'Qté 2027'!AM67*$C67</f>
        <v>0</v>
      </c>
      <c r="AN67" s="23" t="n">
        <f aca="false">'Qté 2027'!AN67*$C67</f>
        <v>0</v>
      </c>
      <c r="AO67" s="23" t="n">
        <f aca="false">'Qté 2027'!AO67*$C67</f>
        <v>0</v>
      </c>
      <c r="AP67" s="23" t="n">
        <f aca="false">'Qté 2027'!AP67*$C67</f>
        <v>2</v>
      </c>
      <c r="AQ67" s="23" t="n">
        <f aca="false">'Qté 2027'!AQ67*$C67</f>
        <v>4.25</v>
      </c>
      <c r="AR67" s="23" t="n">
        <f aca="false">'Qté 2027'!AR67*$C67</f>
        <v>2</v>
      </c>
      <c r="AS67" s="23" t="n">
        <f aca="false">'Qté 2027'!AS67*$C67</f>
        <v>0</v>
      </c>
      <c r="AT67" s="23" t="n">
        <f aca="false">'Qté 2027'!AT67*$C67</f>
        <v>0</v>
      </c>
      <c r="AU67" s="23" t="n">
        <f aca="false">'Qté 2027'!AU67*$C67</f>
        <v>0</v>
      </c>
      <c r="AV67" s="23" t="n">
        <f aca="false">'Qté 2027'!AV67*$C67</f>
        <v>0</v>
      </c>
      <c r="AW67" s="23" t="n">
        <f aca="false">'Qté 2027'!AW67*$C67</f>
        <v>0</v>
      </c>
      <c r="AX67" s="23" t="n">
        <f aca="false">'Qté 2027'!AX67*$C67</f>
        <v>0</v>
      </c>
      <c r="AY67" s="23" t="n">
        <f aca="false">'Qté 2027'!AY67*$C67</f>
        <v>0</v>
      </c>
      <c r="AZ67" s="23" t="n">
        <f aca="false">'Qté 2027'!AZ67*$C67</f>
        <v>0</v>
      </c>
      <c r="BA67" s="23" t="n">
        <f aca="false">'Qté 2027'!BA67*$C67</f>
        <v>0</v>
      </c>
      <c r="BB67" s="23" t="n">
        <f aca="false">'Qté 2027'!BB67*$C67</f>
        <v>0</v>
      </c>
      <c r="BC67" s="23" t="n">
        <f aca="false">'Qté 2027'!BC67*$C67</f>
        <v>0</v>
      </c>
      <c r="BD67" s="15" t="n">
        <f aca="false">SUM(D67:BC67)</f>
        <v>127</v>
      </c>
    </row>
    <row r="68" customFormat="false" ht="15" hidden="false" customHeight="false" outlineLevel="0" collapsed="false">
      <c r="A68" s="5" t="s">
        <v>244</v>
      </c>
      <c r="B68" s="5" t="s">
        <v>45</v>
      </c>
      <c r="C68" s="22" t="n">
        <v>19.84</v>
      </c>
      <c r="D68" s="23" t="n">
        <f aca="false">'Qté 2027'!D68*$C68</f>
        <v>0</v>
      </c>
      <c r="E68" s="23" t="n">
        <f aca="false">'Qté 2027'!E68*$C68</f>
        <v>0</v>
      </c>
      <c r="F68" s="23" t="n">
        <f aca="false">'Qté 2027'!F68*$C68</f>
        <v>0</v>
      </c>
      <c r="G68" s="23" t="n">
        <f aca="false">'Qté 2027'!G68*$C68</f>
        <v>0</v>
      </c>
      <c r="H68" s="23" t="n">
        <f aca="false">'Qté 2027'!H68*$C68</f>
        <v>0</v>
      </c>
      <c r="I68" s="23" t="n">
        <f aca="false">'Qté 2027'!I68*$C68</f>
        <v>0</v>
      </c>
      <c r="J68" s="23" t="n">
        <f aca="false">'Qté 2027'!J68*$C68</f>
        <v>0</v>
      </c>
      <c r="K68" s="23" t="n">
        <f aca="false">'Qté 2027'!K68*$C68</f>
        <v>0</v>
      </c>
      <c r="L68" s="23" t="n">
        <f aca="false">'Qté 2027'!L68*$C68</f>
        <v>0</v>
      </c>
      <c r="M68" s="23" t="n">
        <f aca="false">'Qté 2027'!M68*$C68</f>
        <v>0</v>
      </c>
      <c r="N68" s="23" t="n">
        <f aca="false">'Qté 2027'!N68*$C68</f>
        <v>1.1904</v>
      </c>
      <c r="O68" s="23" t="n">
        <f aca="false">'Qté 2027'!O68*$C68</f>
        <v>4.7616</v>
      </c>
      <c r="P68" s="23" t="n">
        <f aca="false">'Qté 2027'!P68*$C68</f>
        <v>6.1504</v>
      </c>
      <c r="Q68" s="23" t="n">
        <f aca="false">'Qté 2027'!Q68*$C68</f>
        <v>2.3808</v>
      </c>
      <c r="R68" s="23" t="n">
        <f aca="false">'Qté 2027'!R68*$C68</f>
        <v>0</v>
      </c>
      <c r="S68" s="23" t="n">
        <f aca="false">'Qté 2027'!S68*$C68</f>
        <v>1.5872</v>
      </c>
      <c r="T68" s="23" t="n">
        <f aca="false">'Qté 2027'!T68*$C68</f>
        <v>3.1744</v>
      </c>
      <c r="U68" s="23" t="n">
        <f aca="false">'Qté 2027'!U68*$C68</f>
        <v>3.3728</v>
      </c>
      <c r="V68" s="23" t="n">
        <f aca="false">'Qté 2027'!V68*$C68</f>
        <v>3.5712</v>
      </c>
      <c r="W68" s="23" t="n">
        <f aca="false">'Qté 2027'!W68*$C68</f>
        <v>3.968</v>
      </c>
      <c r="X68" s="23" t="n">
        <f aca="false">'Qté 2027'!X68*$C68</f>
        <v>6.944</v>
      </c>
      <c r="Y68" s="23" t="n">
        <f aca="false">'Qté 2027'!Y68*$C68</f>
        <v>10.5152</v>
      </c>
      <c r="Z68" s="23" t="n">
        <f aca="false">'Qté 2027'!Z68*$C68</f>
        <v>9.1264</v>
      </c>
      <c r="AA68" s="23" t="n">
        <f aca="false">'Qté 2027'!AA68*$C68</f>
        <v>3.3728</v>
      </c>
      <c r="AB68" s="23" t="n">
        <f aca="false">'Qté 2027'!AB68*$C68</f>
        <v>1.1904</v>
      </c>
      <c r="AC68" s="23" t="n">
        <f aca="false">'Qté 2027'!AC68*$C68</f>
        <v>2.1824</v>
      </c>
      <c r="AD68" s="23" t="n">
        <f aca="false">'Qté 2027'!AD68*$C68</f>
        <v>1.1904</v>
      </c>
      <c r="AE68" s="23" t="n">
        <f aca="false">'Qté 2027'!AE68*$C68</f>
        <v>1.984</v>
      </c>
      <c r="AF68" s="23" t="n">
        <f aca="false">'Qté 2027'!AF68*$C68</f>
        <v>5.5552</v>
      </c>
      <c r="AG68" s="23" t="n">
        <f aca="false">'Qté 2027'!AG68*$C68</f>
        <v>6.3488</v>
      </c>
      <c r="AH68" s="23" t="n">
        <f aca="false">'Qté 2027'!AH68*$C68</f>
        <v>5.3568</v>
      </c>
      <c r="AI68" s="23" t="n">
        <f aca="false">'Qté 2027'!AI68*$C68</f>
        <v>5.952</v>
      </c>
      <c r="AJ68" s="23" t="n">
        <f aca="false">'Qté 2027'!AJ68*$C68</f>
        <v>4.96</v>
      </c>
      <c r="AK68" s="23" t="n">
        <f aca="false">'Qté 2027'!AK68*$C68</f>
        <v>5.5552</v>
      </c>
      <c r="AL68" s="23" t="n">
        <f aca="false">'Qté 2027'!AL68*$C68</f>
        <v>7.936</v>
      </c>
      <c r="AM68" s="23" t="n">
        <f aca="false">'Qté 2027'!AM68*$C68</f>
        <v>3.968</v>
      </c>
      <c r="AN68" s="23" t="n">
        <f aca="false">'Qté 2027'!AN68*$C68</f>
        <v>0</v>
      </c>
      <c r="AO68" s="23" t="n">
        <f aca="false">'Qté 2027'!AO68*$C68</f>
        <v>0</v>
      </c>
      <c r="AP68" s="23" t="n">
        <f aca="false">'Qté 2027'!AP68*$C68</f>
        <v>0.992</v>
      </c>
      <c r="AQ68" s="23" t="n">
        <f aca="false">'Qté 2027'!AQ68*$C68</f>
        <v>1.984</v>
      </c>
      <c r="AR68" s="23" t="n">
        <f aca="false">'Qté 2027'!AR68*$C68</f>
        <v>0.992</v>
      </c>
      <c r="AS68" s="23" t="n">
        <f aca="false">'Qté 2027'!AS68*$C68</f>
        <v>0</v>
      </c>
      <c r="AT68" s="23" t="n">
        <f aca="false">'Qté 2027'!AT68*$C68</f>
        <v>0</v>
      </c>
      <c r="AU68" s="23" t="n">
        <f aca="false">'Qté 2027'!AU68*$C68</f>
        <v>0</v>
      </c>
      <c r="AV68" s="23" t="n">
        <f aca="false">'Qté 2027'!AV68*$C68</f>
        <v>0</v>
      </c>
      <c r="AW68" s="23" t="n">
        <f aca="false">'Qté 2027'!AW68*$C68</f>
        <v>0</v>
      </c>
      <c r="AX68" s="23" t="n">
        <f aca="false">'Qté 2027'!AX68*$C68</f>
        <v>0</v>
      </c>
      <c r="AY68" s="23" t="n">
        <f aca="false">'Qté 2027'!AY68*$C68</f>
        <v>0</v>
      </c>
      <c r="AZ68" s="23" t="n">
        <f aca="false">'Qté 2027'!AZ68*$C68</f>
        <v>0</v>
      </c>
      <c r="BA68" s="23" t="n">
        <f aca="false">'Qté 2027'!BA68*$C68</f>
        <v>0</v>
      </c>
      <c r="BB68" s="23" t="n">
        <f aca="false">'Qté 2027'!BB68*$C68</f>
        <v>0</v>
      </c>
      <c r="BC68" s="23" t="n">
        <f aca="false">'Qté 2027'!BC68*$C68</f>
        <v>0</v>
      </c>
      <c r="BD68" s="15" t="n">
        <f aca="false">SUM(D68:BC68)</f>
        <v>116.2624</v>
      </c>
    </row>
    <row r="69" customFormat="false" ht="15" hidden="false" customHeight="false" outlineLevel="0" collapsed="false">
      <c r="A69" s="5" t="s">
        <v>245</v>
      </c>
      <c r="B69" s="5" t="s">
        <v>62</v>
      </c>
      <c r="C69" s="22" t="n">
        <v>25</v>
      </c>
      <c r="D69" s="23" t="n">
        <f aca="false">'Qté 2027'!D69*$C69</f>
        <v>0</v>
      </c>
      <c r="E69" s="23" t="n">
        <f aca="false">'Qté 2027'!E69*$C69</f>
        <v>0</v>
      </c>
      <c r="F69" s="23" t="n">
        <f aca="false">'Qté 2027'!F69*$C69</f>
        <v>0</v>
      </c>
      <c r="G69" s="23" t="n">
        <f aca="false">'Qté 2027'!G69*$C69</f>
        <v>0</v>
      </c>
      <c r="H69" s="23" t="n">
        <f aca="false">'Qté 2027'!H69*$C69</f>
        <v>0</v>
      </c>
      <c r="I69" s="23" t="n">
        <f aca="false">'Qté 2027'!I69*$C69</f>
        <v>0</v>
      </c>
      <c r="J69" s="23" t="n">
        <f aca="false">'Qté 2027'!J69*$C69</f>
        <v>0</v>
      </c>
      <c r="K69" s="23" t="n">
        <f aca="false">'Qté 2027'!K69*$C69</f>
        <v>0</v>
      </c>
      <c r="L69" s="23" t="n">
        <f aca="false">'Qté 2027'!L69*$C69</f>
        <v>0</v>
      </c>
      <c r="M69" s="23" t="n">
        <f aca="false">'Qté 2027'!M69*$C69</f>
        <v>0</v>
      </c>
      <c r="N69" s="23" t="n">
        <f aca="false">'Qté 2027'!N69*$C69</f>
        <v>0</v>
      </c>
      <c r="O69" s="23" t="n">
        <f aca="false">'Qté 2027'!O69*$C69</f>
        <v>0</v>
      </c>
      <c r="P69" s="23" t="n">
        <f aca="false">'Qté 2027'!P69*$C69</f>
        <v>0</v>
      </c>
      <c r="Q69" s="23" t="n">
        <f aca="false">'Qté 2027'!Q69*$C69</f>
        <v>0</v>
      </c>
      <c r="R69" s="23" t="n">
        <f aca="false">'Qté 2027'!R69*$C69</f>
        <v>0</v>
      </c>
      <c r="S69" s="23" t="n">
        <f aca="false">'Qté 2027'!S69*$C69</f>
        <v>0</v>
      </c>
      <c r="T69" s="23" t="n">
        <f aca="false">'Qté 2027'!T69*$C69</f>
        <v>0</v>
      </c>
      <c r="U69" s="23" t="n">
        <f aca="false">'Qté 2027'!U69*$C69</f>
        <v>0</v>
      </c>
      <c r="V69" s="23" t="n">
        <f aca="false">'Qté 2027'!V69*$C69</f>
        <v>0</v>
      </c>
      <c r="W69" s="23" t="n">
        <f aca="false">'Qté 2027'!W69*$C69</f>
        <v>1.5</v>
      </c>
      <c r="X69" s="23" t="n">
        <f aca="false">'Qté 2027'!X69*$C69</f>
        <v>2.75</v>
      </c>
      <c r="Y69" s="23" t="n">
        <f aca="false">'Qté 2027'!Y69*$C69</f>
        <v>1.5</v>
      </c>
      <c r="Z69" s="23" t="n">
        <f aca="false">'Qté 2027'!Z69*$C69</f>
        <v>0</v>
      </c>
      <c r="AA69" s="23" t="n">
        <f aca="false">'Qté 2027'!AA69*$C69</f>
        <v>0</v>
      </c>
      <c r="AB69" s="23" t="n">
        <f aca="false">'Qté 2027'!AB69*$C69</f>
        <v>2.75</v>
      </c>
      <c r="AC69" s="23" t="n">
        <f aca="false">'Qté 2027'!AC69*$C69</f>
        <v>7</v>
      </c>
      <c r="AD69" s="23" t="n">
        <f aca="false">'Qté 2027'!AD69*$C69</f>
        <v>8.5</v>
      </c>
      <c r="AE69" s="23" t="n">
        <f aca="false">'Qté 2027'!AE69*$C69</f>
        <v>15.25</v>
      </c>
      <c r="AF69" s="23" t="n">
        <f aca="false">'Qté 2027'!AF69*$C69</f>
        <v>21.5</v>
      </c>
      <c r="AG69" s="23" t="n">
        <f aca="false">'Qté 2027'!AG69*$C69</f>
        <v>16.5</v>
      </c>
      <c r="AH69" s="23" t="n">
        <f aca="false">'Qté 2027'!AH69*$C69</f>
        <v>12.5</v>
      </c>
      <c r="AI69" s="23" t="n">
        <f aca="false">'Qté 2027'!AI69*$C69</f>
        <v>10.5</v>
      </c>
      <c r="AJ69" s="23" t="n">
        <f aca="false">'Qté 2027'!AJ69*$C69</f>
        <v>6.25</v>
      </c>
      <c r="AK69" s="23" t="n">
        <f aca="false">'Qté 2027'!AK69*$C69</f>
        <v>4.25</v>
      </c>
      <c r="AL69" s="23" t="n">
        <f aca="false">'Qté 2027'!AL69*$C69</f>
        <v>4.25</v>
      </c>
      <c r="AM69" s="23" t="n">
        <f aca="false">'Qté 2027'!AM69*$C69</f>
        <v>0</v>
      </c>
      <c r="AN69" s="23" t="n">
        <f aca="false">'Qté 2027'!AN69*$C69</f>
        <v>0</v>
      </c>
      <c r="AO69" s="23" t="n">
        <f aca="false">'Qté 2027'!AO69*$C69</f>
        <v>0</v>
      </c>
      <c r="AP69" s="23" t="n">
        <f aca="false">'Qté 2027'!AP69*$C69</f>
        <v>0</v>
      </c>
      <c r="AQ69" s="23" t="n">
        <f aca="false">'Qté 2027'!AQ69*$C69</f>
        <v>0</v>
      </c>
      <c r="AR69" s="23" t="n">
        <f aca="false">'Qté 2027'!AR69*$C69</f>
        <v>0</v>
      </c>
      <c r="AS69" s="23" t="n">
        <f aca="false">'Qté 2027'!AS69*$C69</f>
        <v>0</v>
      </c>
      <c r="AT69" s="23" t="n">
        <f aca="false">'Qté 2027'!AT69*$C69</f>
        <v>0</v>
      </c>
      <c r="AU69" s="23" t="n">
        <f aca="false">'Qté 2027'!AU69*$C69</f>
        <v>0</v>
      </c>
      <c r="AV69" s="23" t="n">
        <f aca="false">'Qté 2027'!AV69*$C69</f>
        <v>0</v>
      </c>
      <c r="AW69" s="23" t="n">
        <f aca="false">'Qté 2027'!AW69*$C69</f>
        <v>0</v>
      </c>
      <c r="AX69" s="23" t="n">
        <f aca="false">'Qté 2027'!AX69*$C69</f>
        <v>0</v>
      </c>
      <c r="AY69" s="23" t="n">
        <f aca="false">'Qté 2027'!AY69*$C69</f>
        <v>0</v>
      </c>
      <c r="AZ69" s="23" t="n">
        <f aca="false">'Qté 2027'!AZ69*$C69</f>
        <v>0</v>
      </c>
      <c r="BA69" s="23" t="n">
        <f aca="false">'Qté 2027'!BA69*$C69</f>
        <v>0</v>
      </c>
      <c r="BB69" s="23" t="n">
        <f aca="false">'Qté 2027'!BB69*$C69</f>
        <v>0</v>
      </c>
      <c r="BC69" s="23" t="n">
        <f aca="false">'Qté 2027'!BC69*$C69</f>
        <v>0</v>
      </c>
      <c r="BD69" s="15" t="n">
        <f aca="false">SUM(D69:BC69)</f>
        <v>115</v>
      </c>
    </row>
    <row r="70" customFormat="false" ht="15" hidden="false" customHeight="false" outlineLevel="0" collapsed="false">
      <c r="A70" s="5" t="s">
        <v>246</v>
      </c>
      <c r="B70" s="5" t="s">
        <v>69</v>
      </c>
      <c r="C70" s="22" t="n">
        <v>110.83</v>
      </c>
      <c r="D70" s="23" t="n">
        <f aca="false">'Qté 2027'!D70*$C70</f>
        <v>0</v>
      </c>
      <c r="E70" s="23" t="n">
        <f aca="false">'Qté 2027'!E70*$C70</f>
        <v>0</v>
      </c>
      <c r="F70" s="23" t="n">
        <f aca="false">'Qté 2027'!F70*$C70</f>
        <v>0</v>
      </c>
      <c r="G70" s="23" t="n">
        <f aca="false">'Qté 2027'!G70*$C70</f>
        <v>0</v>
      </c>
      <c r="H70" s="23" t="n">
        <f aca="false">'Qté 2027'!H70*$C70</f>
        <v>0</v>
      </c>
      <c r="I70" s="23" t="n">
        <f aca="false">'Qté 2027'!I70*$C70</f>
        <v>0</v>
      </c>
      <c r="J70" s="23" t="n">
        <f aca="false">'Qté 2027'!J70*$C70</f>
        <v>0</v>
      </c>
      <c r="K70" s="23" t="n">
        <f aca="false">'Qté 2027'!K70*$C70</f>
        <v>0</v>
      </c>
      <c r="L70" s="23" t="n">
        <f aca="false">'Qté 2027'!L70*$C70</f>
        <v>0</v>
      </c>
      <c r="M70" s="23" t="n">
        <f aca="false">'Qté 2027'!M70*$C70</f>
        <v>0</v>
      </c>
      <c r="N70" s="23" t="n">
        <f aca="false">'Qté 2027'!N70*$C70</f>
        <v>0</v>
      </c>
      <c r="O70" s="23" t="n">
        <f aca="false">'Qté 2027'!O70*$C70</f>
        <v>0</v>
      </c>
      <c r="P70" s="23" t="n">
        <f aca="false">'Qté 2027'!P70*$C70</f>
        <v>0</v>
      </c>
      <c r="Q70" s="23" t="n">
        <f aca="false">'Qté 2027'!Q70*$C70</f>
        <v>0</v>
      </c>
      <c r="R70" s="23" t="n">
        <f aca="false">'Qté 2027'!R70*$C70</f>
        <v>0</v>
      </c>
      <c r="S70" s="23" t="n">
        <f aca="false">'Qté 2027'!S70*$C70</f>
        <v>0</v>
      </c>
      <c r="T70" s="23" t="n">
        <f aca="false">'Qté 2027'!T70*$C70</f>
        <v>0</v>
      </c>
      <c r="U70" s="23" t="n">
        <f aca="false">'Qté 2027'!U70*$C70</f>
        <v>0</v>
      </c>
      <c r="V70" s="23" t="n">
        <f aca="false">'Qté 2027'!V70*$C70</f>
        <v>0</v>
      </c>
      <c r="W70" s="23" t="n">
        <f aca="false">'Qté 2027'!W70*$C70</f>
        <v>0</v>
      </c>
      <c r="X70" s="23" t="n">
        <f aca="false">'Qté 2027'!X70*$C70</f>
        <v>0</v>
      </c>
      <c r="Y70" s="23" t="n">
        <f aca="false">'Qté 2027'!Y70*$C70</f>
        <v>0</v>
      </c>
      <c r="Z70" s="23" t="n">
        <f aca="false">'Qté 2027'!Z70*$C70</f>
        <v>0</v>
      </c>
      <c r="AA70" s="23" t="n">
        <f aca="false">'Qté 2027'!AA70*$C70</f>
        <v>0</v>
      </c>
      <c r="AB70" s="23" t="n">
        <f aca="false">'Qté 2027'!AB70*$C70</f>
        <v>0</v>
      </c>
      <c r="AC70" s="23" t="n">
        <f aca="false">'Qté 2027'!AC70*$C70</f>
        <v>0</v>
      </c>
      <c r="AD70" s="23" t="n">
        <f aca="false">'Qté 2027'!AD70*$C70</f>
        <v>0</v>
      </c>
      <c r="AE70" s="23" t="n">
        <f aca="false">'Qté 2027'!AE70*$C70</f>
        <v>0</v>
      </c>
      <c r="AF70" s="23" t="n">
        <f aca="false">'Qté 2027'!AF70*$C70</f>
        <v>0</v>
      </c>
      <c r="AG70" s="23" t="n">
        <f aca="false">'Qté 2027'!AG70*$C70</f>
        <v>25.4909</v>
      </c>
      <c r="AH70" s="23" t="n">
        <f aca="false">'Qté 2027'!AH70*$C70</f>
        <v>52.0901</v>
      </c>
      <c r="AI70" s="23" t="n">
        <f aca="false">'Qté 2027'!AI70*$C70</f>
        <v>25.4909</v>
      </c>
      <c r="AJ70" s="23" t="n">
        <f aca="false">'Qté 2027'!AJ70*$C70</f>
        <v>0</v>
      </c>
      <c r="AK70" s="23" t="n">
        <f aca="false">'Qté 2027'!AK70*$C70</f>
        <v>0</v>
      </c>
      <c r="AL70" s="23" t="n">
        <f aca="false">'Qté 2027'!AL70*$C70</f>
        <v>0</v>
      </c>
      <c r="AM70" s="23" t="n">
        <f aca="false">'Qté 2027'!AM70*$C70</f>
        <v>0</v>
      </c>
      <c r="AN70" s="23" t="n">
        <f aca="false">'Qté 2027'!AN70*$C70</f>
        <v>0</v>
      </c>
      <c r="AO70" s="23" t="n">
        <f aca="false">'Qté 2027'!AO70*$C70</f>
        <v>0</v>
      </c>
      <c r="AP70" s="23" t="n">
        <f aca="false">'Qté 2027'!AP70*$C70</f>
        <v>0</v>
      </c>
      <c r="AQ70" s="23" t="n">
        <f aca="false">'Qté 2027'!AQ70*$C70</f>
        <v>0</v>
      </c>
      <c r="AR70" s="23" t="n">
        <f aca="false">'Qté 2027'!AR70*$C70</f>
        <v>0</v>
      </c>
      <c r="AS70" s="23" t="n">
        <f aca="false">'Qté 2027'!AS70*$C70</f>
        <v>0</v>
      </c>
      <c r="AT70" s="23" t="n">
        <f aca="false">'Qté 2027'!AT70*$C70</f>
        <v>0</v>
      </c>
      <c r="AU70" s="23" t="n">
        <f aca="false">'Qté 2027'!AU70*$C70</f>
        <v>0</v>
      </c>
      <c r="AV70" s="23" t="n">
        <f aca="false">'Qté 2027'!AV70*$C70</f>
        <v>0</v>
      </c>
      <c r="AW70" s="23" t="n">
        <f aca="false">'Qté 2027'!AW70*$C70</f>
        <v>0</v>
      </c>
      <c r="AX70" s="23" t="n">
        <f aca="false">'Qté 2027'!AX70*$C70</f>
        <v>0</v>
      </c>
      <c r="AY70" s="23" t="n">
        <f aca="false">'Qté 2027'!AY70*$C70</f>
        <v>0</v>
      </c>
      <c r="AZ70" s="23" t="n">
        <f aca="false">'Qté 2027'!AZ70*$C70</f>
        <v>0</v>
      </c>
      <c r="BA70" s="23" t="n">
        <f aca="false">'Qté 2027'!BA70*$C70</f>
        <v>0</v>
      </c>
      <c r="BB70" s="23" t="n">
        <f aca="false">'Qté 2027'!BB70*$C70</f>
        <v>0</v>
      </c>
      <c r="BC70" s="23" t="n">
        <f aca="false">'Qté 2027'!BC70*$C70</f>
        <v>0</v>
      </c>
      <c r="BD70" s="15" t="n">
        <f aca="false">SUM(D70:BC70)</f>
        <v>103.0719</v>
      </c>
    </row>
    <row r="71" customFormat="false" ht="15" hidden="false" customHeight="false" outlineLevel="0" collapsed="false">
      <c r="A71" s="5" t="s">
        <v>247</v>
      </c>
      <c r="B71" s="5" t="s">
        <v>64</v>
      </c>
      <c r="C71" s="22" t="n">
        <v>27.1</v>
      </c>
      <c r="D71" s="23" t="n">
        <f aca="false">'Qté 2027'!D71*$C71</f>
        <v>0</v>
      </c>
      <c r="E71" s="23" t="n">
        <f aca="false">'Qté 2027'!E71*$C71</f>
        <v>0</v>
      </c>
      <c r="F71" s="23" t="n">
        <f aca="false">'Qté 2027'!F71*$C71</f>
        <v>0</v>
      </c>
      <c r="G71" s="23" t="n">
        <f aca="false">'Qté 2027'!G71*$C71</f>
        <v>2.168</v>
      </c>
      <c r="H71" s="23" t="n">
        <f aca="false">'Qté 2027'!H71*$C71</f>
        <v>4.336</v>
      </c>
      <c r="I71" s="23" t="n">
        <f aca="false">'Qté 2027'!I71*$C71</f>
        <v>2.168</v>
      </c>
      <c r="J71" s="23" t="n">
        <f aca="false">'Qté 2027'!J71*$C71</f>
        <v>0</v>
      </c>
      <c r="K71" s="23" t="n">
        <f aca="false">'Qté 2027'!K71*$C71</f>
        <v>0</v>
      </c>
      <c r="L71" s="23" t="n">
        <f aca="false">'Qté 2027'!L71*$C71</f>
        <v>0</v>
      </c>
      <c r="M71" s="23" t="n">
        <f aca="false">'Qté 2027'!M71*$C71</f>
        <v>0</v>
      </c>
      <c r="N71" s="23" t="n">
        <f aca="false">'Qté 2027'!N71*$C71</f>
        <v>0</v>
      </c>
      <c r="O71" s="23" t="n">
        <f aca="false">'Qté 2027'!O71*$C71</f>
        <v>0</v>
      </c>
      <c r="P71" s="23" t="n">
        <f aca="false">'Qté 2027'!P71*$C71</f>
        <v>0</v>
      </c>
      <c r="Q71" s="23" t="n">
        <f aca="false">'Qté 2027'!Q71*$C71</f>
        <v>1.626</v>
      </c>
      <c r="R71" s="23" t="n">
        <f aca="false">'Qté 2027'!R71*$C71</f>
        <v>2.981</v>
      </c>
      <c r="S71" s="23" t="n">
        <f aca="false">'Qté 2027'!S71*$C71</f>
        <v>1.626</v>
      </c>
      <c r="T71" s="23" t="n">
        <f aca="false">'Qté 2027'!T71*$C71</f>
        <v>14.634</v>
      </c>
      <c r="U71" s="23" t="n">
        <f aca="false">'Qté 2027'!U71*$C71</f>
        <v>29.268</v>
      </c>
      <c r="V71" s="23" t="n">
        <f aca="false">'Qté 2027'!V71*$C71</f>
        <v>14.634</v>
      </c>
      <c r="W71" s="23" t="n">
        <f aca="false">'Qté 2027'!W71*$C71</f>
        <v>0</v>
      </c>
      <c r="X71" s="23" t="n">
        <f aca="false">'Qté 2027'!X71*$C71</f>
        <v>0</v>
      </c>
      <c r="Y71" s="23" t="n">
        <f aca="false">'Qté 2027'!Y71*$C71</f>
        <v>1.626</v>
      </c>
      <c r="Z71" s="23" t="n">
        <f aca="false">'Qté 2027'!Z71*$C71</f>
        <v>4.607</v>
      </c>
      <c r="AA71" s="23" t="n">
        <f aca="false">'Qté 2027'!AA71*$C71</f>
        <v>7.046</v>
      </c>
      <c r="AB71" s="23" t="n">
        <f aca="false">'Qté 2027'!AB71*$C71</f>
        <v>6.504</v>
      </c>
      <c r="AC71" s="23" t="n">
        <f aca="false">'Qté 2027'!AC71*$C71</f>
        <v>2.439</v>
      </c>
      <c r="AD71" s="23" t="n">
        <f aca="false">'Qté 2027'!AD71*$C71</f>
        <v>1.626</v>
      </c>
      <c r="AE71" s="23" t="n">
        <f aca="false">'Qté 2027'!AE71*$C71</f>
        <v>2.981</v>
      </c>
      <c r="AF71" s="23" t="n">
        <f aca="false">'Qté 2027'!AF71*$C71</f>
        <v>1.626</v>
      </c>
      <c r="AG71" s="23" t="n">
        <f aca="false">'Qté 2027'!AG71*$C71</f>
        <v>0</v>
      </c>
      <c r="AH71" s="23" t="n">
        <f aca="false">'Qté 2027'!AH71*$C71</f>
        <v>0</v>
      </c>
      <c r="AI71" s="23" t="n">
        <f aca="false">'Qté 2027'!AI71*$C71</f>
        <v>0</v>
      </c>
      <c r="AJ71" s="23" t="n">
        <f aca="false">'Qté 2027'!AJ71*$C71</f>
        <v>0</v>
      </c>
      <c r="AK71" s="23" t="n">
        <f aca="false">'Qté 2027'!AK71*$C71</f>
        <v>0</v>
      </c>
      <c r="AL71" s="23" t="n">
        <f aca="false">'Qté 2027'!AL71*$C71</f>
        <v>0</v>
      </c>
      <c r="AM71" s="23" t="n">
        <f aca="false">'Qté 2027'!AM71*$C71</f>
        <v>0</v>
      </c>
      <c r="AN71" s="23" t="n">
        <f aca="false">'Qté 2027'!AN71*$C71</f>
        <v>0</v>
      </c>
      <c r="AO71" s="23" t="n">
        <f aca="false">'Qté 2027'!AO71*$C71</f>
        <v>0</v>
      </c>
      <c r="AP71" s="23" t="n">
        <f aca="false">'Qté 2027'!AP71*$C71</f>
        <v>0</v>
      </c>
      <c r="AQ71" s="23" t="n">
        <f aca="false">'Qté 2027'!AQ71*$C71</f>
        <v>0</v>
      </c>
      <c r="AR71" s="23" t="n">
        <f aca="false">'Qté 2027'!AR71*$C71</f>
        <v>0</v>
      </c>
      <c r="AS71" s="23" t="n">
        <f aca="false">'Qté 2027'!AS71*$C71</f>
        <v>0</v>
      </c>
      <c r="AT71" s="23" t="n">
        <f aca="false">'Qté 2027'!AT71*$C71</f>
        <v>0</v>
      </c>
      <c r="AU71" s="23" t="n">
        <f aca="false">'Qté 2027'!AU71*$C71</f>
        <v>0</v>
      </c>
      <c r="AV71" s="23" t="n">
        <f aca="false">'Qté 2027'!AV71*$C71</f>
        <v>0</v>
      </c>
      <c r="AW71" s="23" t="n">
        <f aca="false">'Qté 2027'!AW71*$C71</f>
        <v>0</v>
      </c>
      <c r="AX71" s="23" t="n">
        <f aca="false">'Qté 2027'!AX71*$C71</f>
        <v>0</v>
      </c>
      <c r="AY71" s="23" t="n">
        <f aca="false">'Qté 2027'!AY71*$C71</f>
        <v>0</v>
      </c>
      <c r="AZ71" s="23" t="n">
        <f aca="false">'Qté 2027'!AZ71*$C71</f>
        <v>0</v>
      </c>
      <c r="BA71" s="23" t="n">
        <f aca="false">'Qté 2027'!BA71*$C71</f>
        <v>0</v>
      </c>
      <c r="BB71" s="23" t="n">
        <f aca="false">'Qté 2027'!BB71*$C71</f>
        <v>0</v>
      </c>
      <c r="BC71" s="23" t="n">
        <f aca="false">'Qté 2027'!BC71*$C71</f>
        <v>0</v>
      </c>
      <c r="BD71" s="15" t="n">
        <f aca="false">SUM(D71:BC71)</f>
        <v>101.896</v>
      </c>
    </row>
    <row r="72" customFormat="false" ht="15" hidden="false" customHeight="false" outlineLevel="0" collapsed="false">
      <c r="A72" s="5" t="s">
        <v>248</v>
      </c>
      <c r="B72" s="5" t="s">
        <v>45</v>
      </c>
      <c r="C72" s="22" t="n">
        <v>16.44</v>
      </c>
      <c r="D72" s="23" t="n">
        <f aca="false">'Qté 2027'!D72*$C72</f>
        <v>0</v>
      </c>
      <c r="E72" s="23" t="n">
        <f aca="false">'Qté 2027'!E72*$C72</f>
        <v>0</v>
      </c>
      <c r="F72" s="23" t="n">
        <f aca="false">'Qté 2027'!F72*$C72</f>
        <v>0</v>
      </c>
      <c r="G72" s="23" t="n">
        <f aca="false">'Qté 2027'!G72*$C72</f>
        <v>0</v>
      </c>
      <c r="H72" s="23" t="n">
        <f aca="false">'Qté 2027'!H72*$C72</f>
        <v>0</v>
      </c>
      <c r="I72" s="23" t="n">
        <f aca="false">'Qté 2027'!I72*$C72</f>
        <v>0</v>
      </c>
      <c r="J72" s="23" t="n">
        <f aca="false">'Qté 2027'!J72*$C72</f>
        <v>0</v>
      </c>
      <c r="K72" s="23" t="n">
        <f aca="false">'Qté 2027'!K72*$C72</f>
        <v>0</v>
      </c>
      <c r="L72" s="23" t="n">
        <f aca="false">'Qté 2027'!L72*$C72</f>
        <v>0</v>
      </c>
      <c r="M72" s="23" t="n">
        <f aca="false">'Qté 2027'!M72*$C72</f>
        <v>0</v>
      </c>
      <c r="N72" s="23" t="n">
        <f aca="false">'Qté 2027'!N72*$C72</f>
        <v>0</v>
      </c>
      <c r="O72" s="23" t="n">
        <f aca="false">'Qté 2027'!O72*$C72</f>
        <v>0</v>
      </c>
      <c r="P72" s="23" t="n">
        <f aca="false">'Qté 2027'!P72*$C72</f>
        <v>0</v>
      </c>
      <c r="Q72" s="23" t="n">
        <f aca="false">'Qté 2027'!Q72*$C72</f>
        <v>0</v>
      </c>
      <c r="R72" s="23" t="n">
        <f aca="false">'Qté 2027'!R72*$C72</f>
        <v>0.3288</v>
      </c>
      <c r="S72" s="23" t="n">
        <f aca="false">'Qté 2027'!S72*$C72</f>
        <v>0.822</v>
      </c>
      <c r="T72" s="23" t="n">
        <f aca="false">'Qté 2027'!T72*$C72</f>
        <v>1.1508</v>
      </c>
      <c r="U72" s="23" t="n">
        <f aca="false">'Qté 2027'!U72*$C72</f>
        <v>2.9592</v>
      </c>
      <c r="V72" s="23" t="n">
        <f aca="false">'Qté 2027'!V72*$C72</f>
        <v>5.2608</v>
      </c>
      <c r="W72" s="23" t="n">
        <f aca="false">'Qté 2027'!W72*$C72</f>
        <v>6.2472</v>
      </c>
      <c r="X72" s="23" t="n">
        <f aca="false">'Qté 2027'!X72*$C72</f>
        <v>7.5624</v>
      </c>
      <c r="Y72" s="23" t="n">
        <f aca="false">'Qté 2027'!Y72*$C72</f>
        <v>7.0692</v>
      </c>
      <c r="Z72" s="23" t="n">
        <f aca="false">'Qté 2027'!Z72*$C72</f>
        <v>6.7404</v>
      </c>
      <c r="AA72" s="23" t="n">
        <f aca="false">'Qté 2027'!AA72*$C72</f>
        <v>12.0012</v>
      </c>
      <c r="AB72" s="23" t="n">
        <f aca="false">'Qté 2027'!AB72*$C72</f>
        <v>12.8232</v>
      </c>
      <c r="AC72" s="23" t="n">
        <f aca="false">'Qté 2027'!AC72*$C72</f>
        <v>7.5624</v>
      </c>
      <c r="AD72" s="23" t="n">
        <f aca="false">'Qté 2027'!AD72*$C72</f>
        <v>9.042</v>
      </c>
      <c r="AE72" s="23" t="n">
        <f aca="false">'Qté 2027'!AE72*$C72</f>
        <v>9.2064</v>
      </c>
      <c r="AF72" s="23" t="n">
        <f aca="false">'Qté 2027'!AF72*$C72</f>
        <v>3.1236</v>
      </c>
      <c r="AG72" s="23" t="n">
        <f aca="false">'Qté 2027'!AG72*$C72</f>
        <v>0</v>
      </c>
      <c r="AH72" s="23" t="n">
        <f aca="false">'Qté 2027'!AH72*$C72</f>
        <v>0</v>
      </c>
      <c r="AI72" s="23" t="n">
        <f aca="false">'Qté 2027'!AI72*$C72</f>
        <v>0</v>
      </c>
      <c r="AJ72" s="23" t="n">
        <f aca="false">'Qté 2027'!AJ72*$C72</f>
        <v>0</v>
      </c>
      <c r="AK72" s="23" t="n">
        <f aca="false">'Qté 2027'!AK72*$C72</f>
        <v>1.3152</v>
      </c>
      <c r="AL72" s="23" t="n">
        <f aca="false">'Qté 2027'!AL72*$C72</f>
        <v>2.7948</v>
      </c>
      <c r="AM72" s="23" t="n">
        <f aca="false">'Qté 2027'!AM72*$C72</f>
        <v>1.3152</v>
      </c>
      <c r="AN72" s="23" t="n">
        <f aca="false">'Qté 2027'!AN72*$C72</f>
        <v>0</v>
      </c>
      <c r="AO72" s="23" t="n">
        <f aca="false">'Qté 2027'!AO72*$C72</f>
        <v>0</v>
      </c>
      <c r="AP72" s="23" t="n">
        <f aca="false">'Qté 2027'!AP72*$C72</f>
        <v>0</v>
      </c>
      <c r="AQ72" s="23" t="n">
        <f aca="false">'Qté 2027'!AQ72*$C72</f>
        <v>0</v>
      </c>
      <c r="AR72" s="23" t="n">
        <f aca="false">'Qté 2027'!AR72*$C72</f>
        <v>0.4932</v>
      </c>
      <c r="AS72" s="23" t="n">
        <f aca="false">'Qté 2027'!AS72*$C72</f>
        <v>1.1508</v>
      </c>
      <c r="AT72" s="23" t="n">
        <f aca="false">'Qté 2027'!AT72*$C72</f>
        <v>0.4932</v>
      </c>
      <c r="AU72" s="23" t="n">
        <f aca="false">'Qté 2027'!AU72*$C72</f>
        <v>0</v>
      </c>
      <c r="AV72" s="23" t="n">
        <f aca="false">'Qté 2027'!AV72*$C72</f>
        <v>0</v>
      </c>
      <c r="AW72" s="23" t="n">
        <f aca="false">'Qté 2027'!AW72*$C72</f>
        <v>0</v>
      </c>
      <c r="AX72" s="23" t="n">
        <f aca="false">'Qté 2027'!AX72*$C72</f>
        <v>0</v>
      </c>
      <c r="AY72" s="23" t="n">
        <f aca="false">'Qté 2027'!AY72*$C72</f>
        <v>0</v>
      </c>
      <c r="AZ72" s="23" t="n">
        <f aca="false">'Qté 2027'!AZ72*$C72</f>
        <v>0</v>
      </c>
      <c r="BA72" s="23" t="n">
        <f aca="false">'Qté 2027'!BA72*$C72</f>
        <v>0</v>
      </c>
      <c r="BB72" s="23" t="n">
        <f aca="false">'Qté 2027'!BB72*$C72</f>
        <v>0</v>
      </c>
      <c r="BC72" s="23" t="n">
        <f aca="false">'Qté 2027'!BC72*$C72</f>
        <v>0</v>
      </c>
      <c r="BD72" s="15" t="n">
        <f aca="false">SUM(D72:BC72)</f>
        <v>99.462</v>
      </c>
    </row>
    <row r="73" customFormat="false" ht="15" hidden="false" customHeight="false" outlineLevel="0" collapsed="false">
      <c r="A73" s="5" t="s">
        <v>249</v>
      </c>
      <c r="B73" s="5" t="s">
        <v>42</v>
      </c>
      <c r="C73" s="22" t="n">
        <v>18</v>
      </c>
      <c r="D73" s="23" t="n">
        <f aca="false">'Qté 2027'!D73*$C73</f>
        <v>0</v>
      </c>
      <c r="E73" s="23" t="n">
        <f aca="false">'Qté 2027'!E73*$C73</f>
        <v>0</v>
      </c>
      <c r="F73" s="23" t="n">
        <f aca="false">'Qté 2027'!F73*$C73</f>
        <v>0</v>
      </c>
      <c r="G73" s="23" t="n">
        <f aca="false">'Qté 2027'!G73*$C73</f>
        <v>0</v>
      </c>
      <c r="H73" s="23" t="n">
        <f aca="false">'Qté 2027'!H73*$C73</f>
        <v>0</v>
      </c>
      <c r="I73" s="23" t="n">
        <f aca="false">'Qté 2027'!I73*$C73</f>
        <v>0</v>
      </c>
      <c r="J73" s="23" t="n">
        <f aca="false">'Qté 2027'!J73*$C73</f>
        <v>0</v>
      </c>
      <c r="K73" s="23" t="n">
        <f aca="false">'Qté 2027'!K73*$C73</f>
        <v>0</v>
      </c>
      <c r="L73" s="23" t="n">
        <f aca="false">'Qté 2027'!L73*$C73</f>
        <v>0</v>
      </c>
      <c r="M73" s="23" t="n">
        <f aca="false">'Qté 2027'!M73*$C73</f>
        <v>0</v>
      </c>
      <c r="N73" s="23" t="n">
        <f aca="false">'Qté 2027'!N73*$C73</f>
        <v>0</v>
      </c>
      <c r="O73" s="23" t="n">
        <f aca="false">'Qté 2027'!O73*$C73</f>
        <v>0</v>
      </c>
      <c r="P73" s="23" t="n">
        <f aca="false">'Qté 2027'!P73*$C73</f>
        <v>0</v>
      </c>
      <c r="Q73" s="23" t="n">
        <f aca="false">'Qté 2027'!Q73*$C73</f>
        <v>0</v>
      </c>
      <c r="R73" s="23" t="n">
        <f aca="false">'Qté 2027'!R73*$C73</f>
        <v>0</v>
      </c>
      <c r="S73" s="23" t="n">
        <f aca="false">'Qté 2027'!S73*$C73</f>
        <v>0</v>
      </c>
      <c r="T73" s="23" t="n">
        <f aca="false">'Qté 2027'!T73*$C73</f>
        <v>0</v>
      </c>
      <c r="U73" s="23" t="n">
        <f aca="false">'Qté 2027'!U73*$C73</f>
        <v>1.62</v>
      </c>
      <c r="V73" s="23" t="n">
        <f aca="false">'Qté 2027'!V73*$C73</f>
        <v>3.24</v>
      </c>
      <c r="W73" s="23" t="n">
        <f aca="false">'Qté 2027'!W73*$C73</f>
        <v>1.62</v>
      </c>
      <c r="X73" s="23" t="n">
        <f aca="false">'Qté 2027'!X73*$C73</f>
        <v>0</v>
      </c>
      <c r="Y73" s="23" t="n">
        <f aca="false">'Qté 2027'!Y73*$C73</f>
        <v>0</v>
      </c>
      <c r="Z73" s="23" t="n">
        <f aca="false">'Qté 2027'!Z73*$C73</f>
        <v>0</v>
      </c>
      <c r="AA73" s="23" t="n">
        <f aca="false">'Qté 2027'!AA73*$C73</f>
        <v>0</v>
      </c>
      <c r="AB73" s="23" t="n">
        <f aca="false">'Qté 2027'!AB73*$C73</f>
        <v>4.5</v>
      </c>
      <c r="AC73" s="23" t="n">
        <f aca="false">'Qté 2027'!AC73*$C73</f>
        <v>16.02</v>
      </c>
      <c r="AD73" s="23" t="n">
        <f aca="false">'Qté 2027'!AD73*$C73</f>
        <v>26.1</v>
      </c>
      <c r="AE73" s="23" t="n">
        <f aca="false">'Qté 2027'!AE73*$C73</f>
        <v>21.78</v>
      </c>
      <c r="AF73" s="23" t="n">
        <f aca="false">'Qté 2027'!AF73*$C73</f>
        <v>7.38</v>
      </c>
      <c r="AG73" s="23" t="n">
        <f aca="false">'Qté 2027'!AG73*$C73</f>
        <v>0</v>
      </c>
      <c r="AH73" s="23" t="n">
        <f aca="false">'Qté 2027'!AH73*$C73</f>
        <v>2.16</v>
      </c>
      <c r="AI73" s="23" t="n">
        <f aca="false">'Qté 2027'!AI73*$C73</f>
        <v>4.14</v>
      </c>
      <c r="AJ73" s="23" t="n">
        <f aca="false">'Qté 2027'!AJ73*$C73</f>
        <v>2.16</v>
      </c>
      <c r="AK73" s="23" t="n">
        <f aca="false">'Qté 2027'!AK73*$C73</f>
        <v>0</v>
      </c>
      <c r="AL73" s="23" t="n">
        <f aca="false">'Qté 2027'!AL73*$C73</f>
        <v>2.16</v>
      </c>
      <c r="AM73" s="23" t="n">
        <f aca="false">'Qté 2027'!AM73*$C73</f>
        <v>4.14</v>
      </c>
      <c r="AN73" s="23" t="n">
        <f aca="false">'Qté 2027'!AN73*$C73</f>
        <v>2.16</v>
      </c>
      <c r="AO73" s="23" t="n">
        <f aca="false">'Qté 2027'!AO73*$C73</f>
        <v>0</v>
      </c>
      <c r="AP73" s="23" t="n">
        <f aca="false">'Qté 2027'!AP73*$C73</f>
        <v>0</v>
      </c>
      <c r="AQ73" s="23" t="n">
        <f aca="false">'Qté 2027'!AQ73*$C73</f>
        <v>0</v>
      </c>
      <c r="AR73" s="23" t="n">
        <f aca="false">'Qté 2027'!AR73*$C73</f>
        <v>0</v>
      </c>
      <c r="AS73" s="23" t="n">
        <f aca="false">'Qté 2027'!AS73*$C73</f>
        <v>0</v>
      </c>
      <c r="AT73" s="23" t="n">
        <f aca="false">'Qté 2027'!AT73*$C73</f>
        <v>0</v>
      </c>
      <c r="AU73" s="23" t="n">
        <f aca="false">'Qté 2027'!AU73*$C73</f>
        <v>0</v>
      </c>
      <c r="AV73" s="23" t="n">
        <f aca="false">'Qté 2027'!AV73*$C73</f>
        <v>0</v>
      </c>
      <c r="AW73" s="23" t="n">
        <f aca="false">'Qté 2027'!AW73*$C73</f>
        <v>0</v>
      </c>
      <c r="AX73" s="23" t="n">
        <f aca="false">'Qté 2027'!AX73*$C73</f>
        <v>0</v>
      </c>
      <c r="AY73" s="23" t="n">
        <f aca="false">'Qté 2027'!AY73*$C73</f>
        <v>0</v>
      </c>
      <c r="AZ73" s="23" t="n">
        <f aca="false">'Qté 2027'!AZ73*$C73</f>
        <v>0</v>
      </c>
      <c r="BA73" s="23" t="n">
        <f aca="false">'Qté 2027'!BA73*$C73</f>
        <v>0</v>
      </c>
      <c r="BB73" s="23" t="n">
        <f aca="false">'Qté 2027'!BB73*$C73</f>
        <v>0</v>
      </c>
      <c r="BC73" s="23" t="n">
        <f aca="false">'Qté 2027'!BC73*$C73</f>
        <v>0</v>
      </c>
      <c r="BD73" s="15" t="n">
        <f aca="false">SUM(D73:BC73)</f>
        <v>99.18</v>
      </c>
    </row>
    <row r="74" customFormat="false" ht="15" hidden="false" customHeight="false" outlineLevel="0" collapsed="false">
      <c r="A74" s="5" t="s">
        <v>250</v>
      </c>
      <c r="B74" s="5" t="s">
        <v>62</v>
      </c>
      <c r="C74" s="22" t="n">
        <v>15</v>
      </c>
      <c r="D74" s="23" t="n">
        <f aca="false">'Qté 2027'!D74*$C74</f>
        <v>0</v>
      </c>
      <c r="E74" s="23" t="n">
        <f aca="false">'Qté 2027'!E74*$C74</f>
        <v>0</v>
      </c>
      <c r="F74" s="23" t="n">
        <f aca="false">'Qté 2027'!F74*$C74</f>
        <v>0</v>
      </c>
      <c r="G74" s="23" t="n">
        <f aca="false">'Qté 2027'!G74*$C74</f>
        <v>0</v>
      </c>
      <c r="H74" s="23" t="n">
        <f aca="false">'Qté 2027'!H74*$C74</f>
        <v>1.35</v>
      </c>
      <c r="I74" s="23" t="n">
        <f aca="false">'Qté 2027'!I74*$C74</f>
        <v>2.7</v>
      </c>
      <c r="J74" s="23" t="n">
        <f aca="false">'Qté 2027'!J74*$C74</f>
        <v>1.35</v>
      </c>
      <c r="K74" s="23" t="n">
        <f aca="false">'Qté 2027'!K74*$C74</f>
        <v>0</v>
      </c>
      <c r="L74" s="23" t="n">
        <f aca="false">'Qté 2027'!L74*$C74</f>
        <v>0</v>
      </c>
      <c r="M74" s="23" t="n">
        <f aca="false">'Qté 2027'!M74*$C74</f>
        <v>0</v>
      </c>
      <c r="N74" s="23" t="n">
        <f aca="false">'Qté 2027'!N74*$C74</f>
        <v>1.35</v>
      </c>
      <c r="O74" s="23" t="n">
        <f aca="false">'Qté 2027'!O74*$C74</f>
        <v>2.7</v>
      </c>
      <c r="P74" s="23" t="n">
        <f aca="false">'Qté 2027'!P74*$C74</f>
        <v>1.35</v>
      </c>
      <c r="Q74" s="23" t="n">
        <f aca="false">'Qté 2027'!Q74*$C74</f>
        <v>0</v>
      </c>
      <c r="R74" s="23" t="n">
        <f aca="false">'Qté 2027'!R74*$C74</f>
        <v>2.55</v>
      </c>
      <c r="S74" s="23" t="n">
        <f aca="false">'Qté 2027'!S74*$C74</f>
        <v>5.1</v>
      </c>
      <c r="T74" s="23" t="n">
        <f aca="false">'Qté 2027'!T74*$C74</f>
        <v>3.75</v>
      </c>
      <c r="U74" s="23" t="n">
        <f aca="false">'Qté 2027'!U74*$C74</f>
        <v>3.75</v>
      </c>
      <c r="V74" s="23" t="n">
        <f aca="false">'Qté 2027'!V74*$C74</f>
        <v>6.45</v>
      </c>
      <c r="W74" s="23" t="n">
        <f aca="false">'Qté 2027'!W74*$C74</f>
        <v>7.8</v>
      </c>
      <c r="X74" s="23" t="n">
        <f aca="false">'Qté 2027'!X74*$C74</f>
        <v>6.45</v>
      </c>
      <c r="Y74" s="23" t="n">
        <f aca="false">'Qté 2027'!Y74*$C74</f>
        <v>4.95</v>
      </c>
      <c r="Z74" s="23" t="n">
        <f aca="false">'Qté 2027'!Z74*$C74</f>
        <v>7.05</v>
      </c>
      <c r="AA74" s="23" t="n">
        <f aca="false">'Qté 2027'!AA74*$C74</f>
        <v>9.45</v>
      </c>
      <c r="AB74" s="23" t="n">
        <f aca="false">'Qté 2027'!AB74*$C74</f>
        <v>6</v>
      </c>
      <c r="AC74" s="23" t="n">
        <f aca="false">'Qté 2027'!AC74*$C74</f>
        <v>2.4</v>
      </c>
      <c r="AD74" s="23" t="n">
        <f aca="false">'Qté 2027'!AD74*$C74</f>
        <v>3.6</v>
      </c>
      <c r="AE74" s="23" t="n">
        <f aca="false">'Qté 2027'!AE74*$C74</f>
        <v>5.25</v>
      </c>
      <c r="AF74" s="23" t="n">
        <f aca="false">'Qté 2027'!AF74*$C74</f>
        <v>6.45</v>
      </c>
      <c r="AG74" s="23" t="n">
        <f aca="false">'Qté 2027'!AG74*$C74</f>
        <v>5.25</v>
      </c>
      <c r="AH74" s="23" t="n">
        <f aca="false">'Qté 2027'!AH74*$C74</f>
        <v>1.8</v>
      </c>
      <c r="AI74" s="23" t="n">
        <f aca="false">'Qté 2027'!AI74*$C74</f>
        <v>0</v>
      </c>
      <c r="AJ74" s="23" t="n">
        <f aca="false">'Qté 2027'!AJ74*$C74</f>
        <v>0</v>
      </c>
      <c r="AK74" s="23" t="n">
        <f aca="false">'Qté 2027'!AK74*$C74</f>
        <v>0</v>
      </c>
      <c r="AL74" s="23" t="n">
        <f aca="false">'Qté 2027'!AL74*$C74</f>
        <v>0</v>
      </c>
      <c r="AM74" s="23" t="n">
        <f aca="false">'Qté 2027'!AM74*$C74</f>
        <v>0</v>
      </c>
      <c r="AN74" s="23" t="n">
        <f aca="false">'Qté 2027'!AN74*$C74</f>
        <v>0</v>
      </c>
      <c r="AO74" s="23" t="n">
        <f aca="false">'Qté 2027'!AO74*$C74</f>
        <v>0</v>
      </c>
      <c r="AP74" s="23" t="n">
        <f aca="false">'Qté 2027'!AP74*$C74</f>
        <v>0</v>
      </c>
      <c r="AQ74" s="23" t="n">
        <f aca="false">'Qté 2027'!AQ74*$C74</f>
        <v>0</v>
      </c>
      <c r="AR74" s="23" t="n">
        <f aca="false">'Qté 2027'!AR74*$C74</f>
        <v>0</v>
      </c>
      <c r="AS74" s="23" t="n">
        <f aca="false">'Qté 2027'!AS74*$C74</f>
        <v>0</v>
      </c>
      <c r="AT74" s="23" t="n">
        <f aca="false">'Qté 2027'!AT74*$C74</f>
        <v>0</v>
      </c>
      <c r="AU74" s="23" t="n">
        <f aca="false">'Qté 2027'!AU74*$C74</f>
        <v>0</v>
      </c>
      <c r="AV74" s="23" t="n">
        <f aca="false">'Qté 2027'!AV74*$C74</f>
        <v>0</v>
      </c>
      <c r="AW74" s="23" t="n">
        <f aca="false">'Qté 2027'!AW74*$C74</f>
        <v>0</v>
      </c>
      <c r="AX74" s="23" t="n">
        <f aca="false">'Qté 2027'!AX74*$C74</f>
        <v>0</v>
      </c>
      <c r="AY74" s="23" t="n">
        <f aca="false">'Qté 2027'!AY74*$C74</f>
        <v>0</v>
      </c>
      <c r="AZ74" s="23" t="n">
        <f aca="false">'Qté 2027'!AZ74*$C74</f>
        <v>0</v>
      </c>
      <c r="BA74" s="23" t="n">
        <f aca="false">'Qté 2027'!BA74*$C74</f>
        <v>0</v>
      </c>
      <c r="BB74" s="23" t="n">
        <f aca="false">'Qté 2027'!BB74*$C74</f>
        <v>0</v>
      </c>
      <c r="BC74" s="23" t="n">
        <f aca="false">'Qté 2027'!BC74*$C74</f>
        <v>0</v>
      </c>
      <c r="BD74" s="15" t="n">
        <f aca="false">SUM(D74:BC74)</f>
        <v>98.85</v>
      </c>
    </row>
    <row r="75" customFormat="false" ht="15" hidden="false" customHeight="false" outlineLevel="0" collapsed="false">
      <c r="A75" s="5" t="s">
        <v>251</v>
      </c>
      <c r="B75" s="5" t="s">
        <v>69</v>
      </c>
      <c r="C75" s="22" t="n">
        <v>10</v>
      </c>
      <c r="D75" s="23" t="n">
        <f aca="false">'Qté 2027'!D75*$C75</f>
        <v>0</v>
      </c>
      <c r="E75" s="23" t="n">
        <f aca="false">'Qté 2027'!E75*$C75</f>
        <v>0</v>
      </c>
      <c r="F75" s="23" t="n">
        <f aca="false">'Qté 2027'!F75*$C75</f>
        <v>0</v>
      </c>
      <c r="G75" s="23" t="n">
        <f aca="false">'Qté 2027'!G75*$C75</f>
        <v>0</v>
      </c>
      <c r="H75" s="23" t="n">
        <f aca="false">'Qté 2027'!H75*$C75</f>
        <v>0</v>
      </c>
      <c r="I75" s="23" t="n">
        <f aca="false">'Qté 2027'!I75*$C75</f>
        <v>0</v>
      </c>
      <c r="J75" s="23" t="n">
        <f aca="false">'Qté 2027'!J75*$C75</f>
        <v>0</v>
      </c>
      <c r="K75" s="23" t="n">
        <f aca="false">'Qté 2027'!K75*$C75</f>
        <v>0</v>
      </c>
      <c r="L75" s="23" t="n">
        <f aca="false">'Qté 2027'!L75*$C75</f>
        <v>0</v>
      </c>
      <c r="M75" s="23" t="n">
        <f aca="false">'Qté 2027'!M75*$C75</f>
        <v>0</v>
      </c>
      <c r="N75" s="23" t="n">
        <f aca="false">'Qté 2027'!N75*$C75</f>
        <v>0.8</v>
      </c>
      <c r="O75" s="23" t="n">
        <f aca="false">'Qté 2027'!O75*$C75</f>
        <v>1.6</v>
      </c>
      <c r="P75" s="23" t="n">
        <f aca="false">'Qté 2027'!P75*$C75</f>
        <v>0.8</v>
      </c>
      <c r="Q75" s="23" t="n">
        <f aca="false">'Qté 2027'!Q75*$C75</f>
        <v>0</v>
      </c>
      <c r="R75" s="23" t="n">
        <f aca="false">'Qté 2027'!R75*$C75</f>
        <v>0</v>
      </c>
      <c r="S75" s="23" t="n">
        <f aca="false">'Qté 2027'!S75*$C75</f>
        <v>0.8</v>
      </c>
      <c r="T75" s="23" t="n">
        <f aca="false">'Qté 2027'!T75*$C75</f>
        <v>2.5</v>
      </c>
      <c r="U75" s="23" t="n">
        <f aca="false">'Qté 2027'!U75*$C75</f>
        <v>3.2</v>
      </c>
      <c r="V75" s="23" t="n">
        <f aca="false">'Qté 2027'!V75*$C75</f>
        <v>2</v>
      </c>
      <c r="W75" s="23" t="n">
        <f aca="false">'Qté 2027'!W75*$C75</f>
        <v>3.3</v>
      </c>
      <c r="X75" s="23" t="n">
        <f aca="false">'Qté 2027'!X75*$C75</f>
        <v>5.4</v>
      </c>
      <c r="Y75" s="23" t="n">
        <f aca="false">'Qté 2027'!Y75*$C75</f>
        <v>3.5</v>
      </c>
      <c r="Z75" s="23" t="n">
        <f aca="false">'Qté 2027'!Z75*$C75</f>
        <v>2.4</v>
      </c>
      <c r="AA75" s="23" t="n">
        <f aca="false">'Qté 2027'!AA75*$C75</f>
        <v>3.2</v>
      </c>
      <c r="AB75" s="23" t="n">
        <f aca="false">'Qté 2027'!AB75*$C75</f>
        <v>3.2</v>
      </c>
      <c r="AC75" s="23" t="n">
        <f aca="false">'Qté 2027'!AC75*$C75</f>
        <v>4.9</v>
      </c>
      <c r="AD75" s="23" t="n">
        <f aca="false">'Qté 2027'!AD75*$C75</f>
        <v>5.8</v>
      </c>
      <c r="AE75" s="23" t="n">
        <f aca="false">'Qté 2027'!AE75*$C75</f>
        <v>6</v>
      </c>
      <c r="AF75" s="23" t="n">
        <f aca="false">'Qté 2027'!AF75*$C75</f>
        <v>8.1</v>
      </c>
      <c r="AG75" s="23" t="n">
        <f aca="false">'Qté 2027'!AG75*$C75</f>
        <v>5.8</v>
      </c>
      <c r="AH75" s="23" t="n">
        <f aca="false">'Qté 2027'!AH75*$C75</f>
        <v>2.8</v>
      </c>
      <c r="AI75" s="23" t="n">
        <f aca="false">'Qté 2027'!AI75*$C75</f>
        <v>9.1</v>
      </c>
      <c r="AJ75" s="23" t="n">
        <f aca="false">'Qté 2027'!AJ75*$C75</f>
        <v>13.3</v>
      </c>
      <c r="AK75" s="23" t="n">
        <f aca="false">'Qté 2027'!AK75*$C75</f>
        <v>5.8</v>
      </c>
      <c r="AL75" s="23" t="n">
        <f aca="false">'Qté 2027'!AL75*$C75</f>
        <v>0</v>
      </c>
      <c r="AM75" s="23" t="n">
        <f aca="false">'Qté 2027'!AM75*$C75</f>
        <v>0</v>
      </c>
      <c r="AN75" s="23" t="n">
        <f aca="false">'Qté 2027'!AN75*$C75</f>
        <v>0</v>
      </c>
      <c r="AO75" s="23" t="n">
        <f aca="false">'Qté 2027'!AO75*$C75</f>
        <v>0</v>
      </c>
      <c r="AP75" s="23" t="n">
        <f aca="false">'Qté 2027'!AP75*$C75</f>
        <v>0</v>
      </c>
      <c r="AQ75" s="23" t="n">
        <f aca="false">'Qté 2027'!AQ75*$C75</f>
        <v>0</v>
      </c>
      <c r="AR75" s="23" t="n">
        <f aca="false">'Qté 2027'!AR75*$C75</f>
        <v>0</v>
      </c>
      <c r="AS75" s="23" t="n">
        <f aca="false">'Qté 2027'!AS75*$C75</f>
        <v>0</v>
      </c>
      <c r="AT75" s="23" t="n">
        <f aca="false">'Qté 2027'!AT75*$C75</f>
        <v>0</v>
      </c>
      <c r="AU75" s="23" t="n">
        <f aca="false">'Qté 2027'!AU75*$C75</f>
        <v>0</v>
      </c>
      <c r="AV75" s="23" t="n">
        <f aca="false">'Qté 2027'!AV75*$C75</f>
        <v>0</v>
      </c>
      <c r="AW75" s="23" t="n">
        <f aca="false">'Qté 2027'!AW75*$C75</f>
        <v>0</v>
      </c>
      <c r="AX75" s="23" t="n">
        <f aca="false">'Qté 2027'!AX75*$C75</f>
        <v>0</v>
      </c>
      <c r="AY75" s="23" t="n">
        <f aca="false">'Qté 2027'!AY75*$C75</f>
        <v>0</v>
      </c>
      <c r="AZ75" s="23" t="n">
        <f aca="false">'Qté 2027'!AZ75*$C75</f>
        <v>0</v>
      </c>
      <c r="BA75" s="23" t="n">
        <f aca="false">'Qté 2027'!BA75*$C75</f>
        <v>0</v>
      </c>
      <c r="BB75" s="23" t="n">
        <f aca="false">'Qté 2027'!BB75*$C75</f>
        <v>0</v>
      </c>
      <c r="BC75" s="23" t="n">
        <f aca="false">'Qté 2027'!BC75*$C75</f>
        <v>0</v>
      </c>
      <c r="BD75" s="15" t="n">
        <f aca="false">SUM(D75:BC75)</f>
        <v>94.3</v>
      </c>
    </row>
    <row r="76" customFormat="false" ht="15" hidden="false" customHeight="false" outlineLevel="0" collapsed="false">
      <c r="A76" s="5" t="s">
        <v>252</v>
      </c>
      <c r="B76" s="5" t="s">
        <v>69</v>
      </c>
      <c r="C76" s="22" t="n">
        <v>13.61</v>
      </c>
      <c r="D76" s="23" t="n">
        <f aca="false">'Qté 2027'!D76*$C76</f>
        <v>0</v>
      </c>
      <c r="E76" s="23" t="n">
        <f aca="false">'Qté 2027'!E76*$C76</f>
        <v>0</v>
      </c>
      <c r="F76" s="23" t="n">
        <f aca="false">'Qté 2027'!F76*$C76</f>
        <v>0</v>
      </c>
      <c r="G76" s="23" t="n">
        <f aca="false">'Qté 2027'!G76*$C76</f>
        <v>0</v>
      </c>
      <c r="H76" s="23" t="n">
        <f aca="false">'Qté 2027'!H76*$C76</f>
        <v>0</v>
      </c>
      <c r="I76" s="23" t="n">
        <f aca="false">'Qté 2027'!I76*$C76</f>
        <v>0</v>
      </c>
      <c r="J76" s="23" t="n">
        <f aca="false">'Qté 2027'!J76*$C76</f>
        <v>0</v>
      </c>
      <c r="K76" s="23" t="n">
        <f aca="false">'Qté 2027'!K76*$C76</f>
        <v>0</v>
      </c>
      <c r="L76" s="23" t="n">
        <f aca="false">'Qté 2027'!L76*$C76</f>
        <v>0</v>
      </c>
      <c r="M76" s="23" t="n">
        <f aca="false">'Qté 2027'!M76*$C76</f>
        <v>0</v>
      </c>
      <c r="N76" s="23" t="n">
        <f aca="false">'Qté 2027'!N76*$C76</f>
        <v>0</v>
      </c>
      <c r="O76" s="23" t="n">
        <f aca="false">'Qté 2027'!O76*$C76</f>
        <v>0</v>
      </c>
      <c r="P76" s="23" t="n">
        <f aca="false">'Qté 2027'!P76*$C76</f>
        <v>0</v>
      </c>
      <c r="Q76" s="23" t="n">
        <f aca="false">'Qté 2027'!Q76*$C76</f>
        <v>0</v>
      </c>
      <c r="R76" s="23" t="n">
        <f aca="false">'Qté 2027'!R76*$C76</f>
        <v>0</v>
      </c>
      <c r="S76" s="23" t="n">
        <f aca="false">'Qté 2027'!S76*$C76</f>
        <v>0</v>
      </c>
      <c r="T76" s="23" t="n">
        <f aca="false">'Qté 2027'!T76*$C76</f>
        <v>0</v>
      </c>
      <c r="U76" s="23" t="n">
        <f aca="false">'Qté 2027'!U76*$C76</f>
        <v>0</v>
      </c>
      <c r="V76" s="23" t="n">
        <f aca="false">'Qté 2027'!V76*$C76</f>
        <v>0</v>
      </c>
      <c r="W76" s="23" t="n">
        <f aca="false">'Qté 2027'!W76*$C76</f>
        <v>0</v>
      </c>
      <c r="X76" s="23" t="n">
        <f aca="false">'Qté 2027'!X76*$C76</f>
        <v>0</v>
      </c>
      <c r="Y76" s="23" t="n">
        <f aca="false">'Qté 2027'!Y76*$C76</f>
        <v>0</v>
      </c>
      <c r="Z76" s="23" t="n">
        <f aca="false">'Qté 2027'!Z76*$C76</f>
        <v>3.2664</v>
      </c>
      <c r="AA76" s="23" t="n">
        <f aca="false">'Qté 2027'!AA76*$C76</f>
        <v>8.5743</v>
      </c>
      <c r="AB76" s="23" t="n">
        <f aca="false">'Qté 2027'!AB76*$C76</f>
        <v>10.7519</v>
      </c>
      <c r="AC76" s="23" t="n">
        <f aca="false">'Qté 2027'!AC76*$C76</f>
        <v>11.8407</v>
      </c>
      <c r="AD76" s="23" t="n">
        <f aca="false">'Qté 2027'!AD76*$C76</f>
        <v>10.4797</v>
      </c>
      <c r="AE76" s="23" t="n">
        <f aca="false">'Qté 2027'!AE76*$C76</f>
        <v>4.7635</v>
      </c>
      <c r="AF76" s="23" t="n">
        <f aca="false">'Qté 2027'!AF76*$C76</f>
        <v>3.5386</v>
      </c>
      <c r="AG76" s="23" t="n">
        <f aca="false">'Qté 2027'!AG76*$C76</f>
        <v>5.444</v>
      </c>
      <c r="AH76" s="23" t="n">
        <f aca="false">'Qté 2027'!AH76*$C76</f>
        <v>8.5743</v>
      </c>
      <c r="AI76" s="23" t="n">
        <f aca="false">'Qté 2027'!AI76*$C76</f>
        <v>11.7046</v>
      </c>
      <c r="AJ76" s="23" t="n">
        <f aca="false">'Qté 2027'!AJ76*$C76</f>
        <v>5.8523</v>
      </c>
      <c r="AK76" s="23" t="n">
        <f aca="false">'Qté 2027'!AK76*$C76</f>
        <v>0</v>
      </c>
      <c r="AL76" s="23" t="n">
        <f aca="false">'Qté 2027'!AL76*$C76</f>
        <v>0</v>
      </c>
      <c r="AM76" s="23" t="n">
        <f aca="false">'Qté 2027'!AM76*$C76</f>
        <v>1.0888</v>
      </c>
      <c r="AN76" s="23" t="n">
        <f aca="false">'Qté 2027'!AN76*$C76</f>
        <v>2.3137</v>
      </c>
      <c r="AO76" s="23" t="n">
        <f aca="false">'Qté 2027'!AO76*$C76</f>
        <v>1.0888</v>
      </c>
      <c r="AP76" s="23" t="n">
        <f aca="false">'Qté 2027'!AP76*$C76</f>
        <v>0</v>
      </c>
      <c r="AQ76" s="23" t="n">
        <f aca="false">'Qté 2027'!AQ76*$C76</f>
        <v>0</v>
      </c>
      <c r="AR76" s="23" t="n">
        <f aca="false">'Qté 2027'!AR76*$C76</f>
        <v>0</v>
      </c>
      <c r="AS76" s="23" t="n">
        <f aca="false">'Qté 2027'!AS76*$C76</f>
        <v>0</v>
      </c>
      <c r="AT76" s="23" t="n">
        <f aca="false">'Qté 2027'!AT76*$C76</f>
        <v>0</v>
      </c>
      <c r="AU76" s="23" t="n">
        <f aca="false">'Qté 2027'!AU76*$C76</f>
        <v>0</v>
      </c>
      <c r="AV76" s="23" t="n">
        <f aca="false">'Qté 2027'!AV76*$C76</f>
        <v>0</v>
      </c>
      <c r="AW76" s="23" t="n">
        <f aca="false">'Qté 2027'!AW76*$C76</f>
        <v>0</v>
      </c>
      <c r="AX76" s="23" t="n">
        <f aca="false">'Qté 2027'!AX76*$C76</f>
        <v>0</v>
      </c>
      <c r="AY76" s="23" t="n">
        <f aca="false">'Qté 2027'!AY76*$C76</f>
        <v>0</v>
      </c>
      <c r="AZ76" s="23" t="n">
        <f aca="false">'Qté 2027'!AZ76*$C76</f>
        <v>0</v>
      </c>
      <c r="BA76" s="23" t="n">
        <f aca="false">'Qté 2027'!BA76*$C76</f>
        <v>0</v>
      </c>
      <c r="BB76" s="23" t="n">
        <f aca="false">'Qté 2027'!BB76*$C76</f>
        <v>0</v>
      </c>
      <c r="BC76" s="23" t="n">
        <f aca="false">'Qté 2027'!BC76*$C76</f>
        <v>0</v>
      </c>
      <c r="BD76" s="15" t="n">
        <f aca="false">SUM(D76:BC76)</f>
        <v>89.2816</v>
      </c>
    </row>
    <row r="77" customFormat="false" ht="15" hidden="false" customHeight="false" outlineLevel="0" collapsed="false">
      <c r="A77" s="5" t="s">
        <v>253</v>
      </c>
      <c r="B77" s="5" t="s">
        <v>45</v>
      </c>
      <c r="C77" s="22" t="n">
        <v>27.33</v>
      </c>
      <c r="D77" s="23" t="n">
        <f aca="false">'Qté 2027'!D77*$C77</f>
        <v>0</v>
      </c>
      <c r="E77" s="23" t="n">
        <f aca="false">'Qté 2027'!E77*$C77</f>
        <v>0</v>
      </c>
      <c r="F77" s="23" t="n">
        <f aca="false">'Qté 2027'!F77*$C77</f>
        <v>0</v>
      </c>
      <c r="G77" s="23" t="n">
        <f aca="false">'Qté 2027'!G77*$C77</f>
        <v>0</v>
      </c>
      <c r="H77" s="23" t="n">
        <f aca="false">'Qté 2027'!H77*$C77</f>
        <v>0</v>
      </c>
      <c r="I77" s="23" t="n">
        <f aca="false">'Qté 2027'!I77*$C77</f>
        <v>0</v>
      </c>
      <c r="J77" s="23" t="n">
        <f aca="false">'Qté 2027'!J77*$C77</f>
        <v>0</v>
      </c>
      <c r="K77" s="23" t="n">
        <f aca="false">'Qté 2027'!K77*$C77</f>
        <v>0</v>
      </c>
      <c r="L77" s="23" t="n">
        <f aca="false">'Qté 2027'!L77*$C77</f>
        <v>0</v>
      </c>
      <c r="M77" s="23" t="n">
        <f aca="false">'Qté 2027'!M77*$C77</f>
        <v>0</v>
      </c>
      <c r="N77" s="23" t="n">
        <f aca="false">'Qté 2027'!N77*$C77</f>
        <v>0</v>
      </c>
      <c r="O77" s="23" t="n">
        <f aca="false">'Qté 2027'!O77*$C77</f>
        <v>0</v>
      </c>
      <c r="P77" s="23" t="n">
        <f aca="false">'Qté 2027'!P77*$C77</f>
        <v>0</v>
      </c>
      <c r="Q77" s="23" t="n">
        <f aca="false">'Qté 2027'!Q77*$C77</f>
        <v>2.1864</v>
      </c>
      <c r="R77" s="23" t="n">
        <f aca="false">'Qté 2027'!R77*$C77</f>
        <v>4.3728</v>
      </c>
      <c r="S77" s="23" t="n">
        <f aca="false">'Qté 2027'!S77*$C77</f>
        <v>2.1864</v>
      </c>
      <c r="T77" s="23" t="n">
        <f aca="false">'Qté 2027'!T77*$C77</f>
        <v>2.1864</v>
      </c>
      <c r="U77" s="23" t="n">
        <f aca="false">'Qté 2027'!U77*$C77</f>
        <v>4.3728</v>
      </c>
      <c r="V77" s="23" t="n">
        <f aca="false">'Qté 2027'!V77*$C77</f>
        <v>2.1864</v>
      </c>
      <c r="W77" s="23" t="n">
        <f aca="false">'Qté 2027'!W77*$C77</f>
        <v>2.1864</v>
      </c>
      <c r="X77" s="23" t="n">
        <f aca="false">'Qté 2027'!X77*$C77</f>
        <v>4.3728</v>
      </c>
      <c r="Y77" s="23" t="n">
        <f aca="false">'Qté 2027'!Y77*$C77</f>
        <v>4.3728</v>
      </c>
      <c r="Z77" s="23" t="n">
        <f aca="false">'Qté 2027'!Z77*$C77</f>
        <v>6.5592</v>
      </c>
      <c r="AA77" s="23" t="n">
        <f aca="false">'Qté 2027'!AA77*$C77</f>
        <v>10.932</v>
      </c>
      <c r="AB77" s="23" t="n">
        <f aca="false">'Qté 2027'!AB77*$C77</f>
        <v>12.8451</v>
      </c>
      <c r="AC77" s="23" t="n">
        <f aca="false">'Qté 2027'!AC77*$C77</f>
        <v>10.932</v>
      </c>
      <c r="AD77" s="23" t="n">
        <f aca="false">'Qté 2027'!AD77*$C77</f>
        <v>8.7456</v>
      </c>
      <c r="AE77" s="23" t="n">
        <f aca="false">'Qté 2027'!AE77*$C77</f>
        <v>6.5592</v>
      </c>
      <c r="AF77" s="23" t="n">
        <f aca="false">'Qté 2027'!AF77*$C77</f>
        <v>2.1864</v>
      </c>
      <c r="AG77" s="23" t="n">
        <f aca="false">'Qté 2027'!AG77*$C77</f>
        <v>0</v>
      </c>
      <c r="AH77" s="23" t="n">
        <f aca="false">'Qté 2027'!AH77*$C77</f>
        <v>0</v>
      </c>
      <c r="AI77" s="23" t="n">
        <f aca="false">'Qté 2027'!AI77*$C77</f>
        <v>0</v>
      </c>
      <c r="AJ77" s="23" t="n">
        <f aca="false">'Qté 2027'!AJ77*$C77</f>
        <v>0</v>
      </c>
      <c r="AK77" s="23" t="n">
        <f aca="false">'Qté 2027'!AK77*$C77</f>
        <v>0</v>
      </c>
      <c r="AL77" s="23" t="n">
        <f aca="false">'Qté 2027'!AL77*$C77</f>
        <v>0</v>
      </c>
      <c r="AM77" s="23" t="n">
        <f aca="false">'Qté 2027'!AM77*$C77</f>
        <v>0</v>
      </c>
      <c r="AN77" s="23" t="n">
        <f aca="false">'Qté 2027'!AN77*$C77</f>
        <v>0</v>
      </c>
      <c r="AO77" s="23" t="n">
        <f aca="false">'Qté 2027'!AO77*$C77</f>
        <v>0</v>
      </c>
      <c r="AP77" s="23" t="n">
        <f aca="false">'Qté 2027'!AP77*$C77</f>
        <v>0</v>
      </c>
      <c r="AQ77" s="23" t="n">
        <f aca="false">'Qté 2027'!AQ77*$C77</f>
        <v>0</v>
      </c>
      <c r="AR77" s="23" t="n">
        <f aca="false">'Qté 2027'!AR77*$C77</f>
        <v>0</v>
      </c>
      <c r="AS77" s="23" t="n">
        <f aca="false">'Qté 2027'!AS77*$C77</f>
        <v>0</v>
      </c>
      <c r="AT77" s="23" t="n">
        <f aca="false">'Qté 2027'!AT77*$C77</f>
        <v>0</v>
      </c>
      <c r="AU77" s="23" t="n">
        <f aca="false">'Qté 2027'!AU77*$C77</f>
        <v>0</v>
      </c>
      <c r="AV77" s="23" t="n">
        <f aca="false">'Qté 2027'!AV77*$C77</f>
        <v>0</v>
      </c>
      <c r="AW77" s="23" t="n">
        <f aca="false">'Qté 2027'!AW77*$C77</f>
        <v>0</v>
      </c>
      <c r="AX77" s="23" t="n">
        <f aca="false">'Qté 2027'!AX77*$C77</f>
        <v>0</v>
      </c>
      <c r="AY77" s="23" t="n">
        <f aca="false">'Qté 2027'!AY77*$C77</f>
        <v>0</v>
      </c>
      <c r="AZ77" s="23" t="n">
        <f aca="false">'Qté 2027'!AZ77*$C77</f>
        <v>0</v>
      </c>
      <c r="BA77" s="23" t="n">
        <f aca="false">'Qté 2027'!BA77*$C77</f>
        <v>0</v>
      </c>
      <c r="BB77" s="23" t="n">
        <f aca="false">'Qté 2027'!BB77*$C77</f>
        <v>0</v>
      </c>
      <c r="BC77" s="23" t="n">
        <f aca="false">'Qté 2027'!BC77*$C77</f>
        <v>0</v>
      </c>
      <c r="BD77" s="15" t="n">
        <f aca="false">SUM(D77:BC77)</f>
        <v>87.1827</v>
      </c>
    </row>
    <row r="78" customFormat="false" ht="15" hidden="false" customHeight="false" outlineLevel="0" collapsed="false">
      <c r="A78" s="5" t="s">
        <v>254</v>
      </c>
      <c r="B78" s="5" t="s">
        <v>45</v>
      </c>
      <c r="C78" s="22" t="n">
        <v>29.04</v>
      </c>
      <c r="D78" s="23" t="n">
        <f aca="false">'Qté 2027'!D78*$C78</f>
        <v>0</v>
      </c>
      <c r="E78" s="23" t="n">
        <f aca="false">'Qté 2027'!E78*$C78</f>
        <v>0</v>
      </c>
      <c r="F78" s="23" t="n">
        <f aca="false">'Qté 2027'!F78*$C78</f>
        <v>0</v>
      </c>
      <c r="G78" s="23" t="n">
        <f aca="false">'Qté 2027'!G78*$C78</f>
        <v>0</v>
      </c>
      <c r="H78" s="23" t="n">
        <f aca="false">'Qté 2027'!H78*$C78</f>
        <v>0</v>
      </c>
      <c r="I78" s="23" t="n">
        <f aca="false">'Qté 2027'!I78*$C78</f>
        <v>0</v>
      </c>
      <c r="J78" s="23" t="n">
        <f aca="false">'Qté 2027'!J78*$C78</f>
        <v>0</v>
      </c>
      <c r="K78" s="23" t="n">
        <f aca="false">'Qté 2027'!K78*$C78</f>
        <v>0</v>
      </c>
      <c r="L78" s="23" t="n">
        <f aca="false">'Qté 2027'!L78*$C78</f>
        <v>0</v>
      </c>
      <c r="M78" s="23" t="n">
        <f aca="false">'Qté 2027'!M78*$C78</f>
        <v>0</v>
      </c>
      <c r="N78" s="23" t="n">
        <f aca="false">'Qté 2027'!N78*$C78</f>
        <v>0</v>
      </c>
      <c r="O78" s="23" t="n">
        <f aca="false">'Qté 2027'!O78*$C78</f>
        <v>0</v>
      </c>
      <c r="P78" s="23" t="n">
        <f aca="false">'Qté 2027'!P78*$C78</f>
        <v>0</v>
      </c>
      <c r="Q78" s="23" t="n">
        <f aca="false">'Qté 2027'!Q78*$C78</f>
        <v>0</v>
      </c>
      <c r="R78" s="23" t="n">
        <f aca="false">'Qté 2027'!R78*$C78</f>
        <v>0</v>
      </c>
      <c r="S78" s="23" t="n">
        <f aca="false">'Qté 2027'!S78*$C78</f>
        <v>0</v>
      </c>
      <c r="T78" s="23" t="n">
        <f aca="false">'Qté 2027'!T78*$C78</f>
        <v>0</v>
      </c>
      <c r="U78" s="23" t="n">
        <f aca="false">'Qté 2027'!U78*$C78</f>
        <v>0</v>
      </c>
      <c r="V78" s="23" t="n">
        <f aca="false">'Qté 2027'!V78*$C78</f>
        <v>0</v>
      </c>
      <c r="W78" s="23" t="n">
        <f aca="false">'Qté 2027'!W78*$C78</f>
        <v>0</v>
      </c>
      <c r="X78" s="23" t="n">
        <f aca="false">'Qté 2027'!X78*$C78</f>
        <v>2.6136</v>
      </c>
      <c r="Y78" s="23" t="n">
        <f aca="false">'Qté 2027'!Y78*$C78</f>
        <v>5.2272</v>
      </c>
      <c r="Z78" s="23" t="n">
        <f aca="false">'Qté 2027'!Z78*$C78</f>
        <v>2.6136</v>
      </c>
      <c r="AA78" s="23" t="n">
        <f aca="false">'Qté 2027'!AA78*$C78</f>
        <v>0</v>
      </c>
      <c r="AB78" s="23" t="n">
        <f aca="false">'Qté 2027'!AB78*$C78</f>
        <v>9.5832</v>
      </c>
      <c r="AC78" s="23" t="n">
        <f aca="false">'Qté 2027'!AC78*$C78</f>
        <v>26.136</v>
      </c>
      <c r="AD78" s="23" t="n">
        <f aca="false">'Qté 2027'!AD78*$C78</f>
        <v>26.136</v>
      </c>
      <c r="AE78" s="23" t="n">
        <f aca="false">'Qté 2027'!AE78*$C78</f>
        <v>11.9064</v>
      </c>
      <c r="AF78" s="23" t="n">
        <f aca="false">'Qté 2027'!AF78*$C78</f>
        <v>2.3232</v>
      </c>
      <c r="AG78" s="23" t="n">
        <f aca="false">'Qté 2027'!AG78*$C78</f>
        <v>0</v>
      </c>
      <c r="AH78" s="23" t="n">
        <f aca="false">'Qté 2027'!AH78*$C78</f>
        <v>0</v>
      </c>
      <c r="AI78" s="23" t="n">
        <f aca="false">'Qté 2027'!AI78*$C78</f>
        <v>0</v>
      </c>
      <c r="AJ78" s="23" t="n">
        <f aca="false">'Qté 2027'!AJ78*$C78</f>
        <v>0</v>
      </c>
      <c r="AK78" s="23" t="n">
        <f aca="false">'Qté 2027'!AK78*$C78</f>
        <v>0</v>
      </c>
      <c r="AL78" s="23" t="n">
        <f aca="false">'Qté 2027'!AL78*$C78</f>
        <v>0</v>
      </c>
      <c r="AM78" s="23" t="n">
        <f aca="false">'Qté 2027'!AM78*$C78</f>
        <v>0</v>
      </c>
      <c r="AN78" s="23" t="n">
        <f aca="false">'Qté 2027'!AN78*$C78</f>
        <v>0</v>
      </c>
      <c r="AO78" s="23" t="n">
        <f aca="false">'Qté 2027'!AO78*$C78</f>
        <v>0</v>
      </c>
      <c r="AP78" s="23" t="n">
        <f aca="false">'Qté 2027'!AP78*$C78</f>
        <v>0</v>
      </c>
      <c r="AQ78" s="23" t="n">
        <f aca="false">'Qté 2027'!AQ78*$C78</f>
        <v>0</v>
      </c>
      <c r="AR78" s="23" t="n">
        <f aca="false">'Qté 2027'!AR78*$C78</f>
        <v>0</v>
      </c>
      <c r="AS78" s="23" t="n">
        <f aca="false">'Qté 2027'!AS78*$C78</f>
        <v>0</v>
      </c>
      <c r="AT78" s="23" t="n">
        <f aca="false">'Qté 2027'!AT78*$C78</f>
        <v>0</v>
      </c>
      <c r="AU78" s="23" t="n">
        <f aca="false">'Qté 2027'!AU78*$C78</f>
        <v>0</v>
      </c>
      <c r="AV78" s="23" t="n">
        <f aca="false">'Qté 2027'!AV78*$C78</f>
        <v>0</v>
      </c>
      <c r="AW78" s="23" t="n">
        <f aca="false">'Qté 2027'!AW78*$C78</f>
        <v>0</v>
      </c>
      <c r="AX78" s="23" t="n">
        <f aca="false">'Qté 2027'!AX78*$C78</f>
        <v>0</v>
      </c>
      <c r="AY78" s="23" t="n">
        <f aca="false">'Qté 2027'!AY78*$C78</f>
        <v>0</v>
      </c>
      <c r="AZ78" s="23" t="n">
        <f aca="false">'Qté 2027'!AZ78*$C78</f>
        <v>0</v>
      </c>
      <c r="BA78" s="23" t="n">
        <f aca="false">'Qté 2027'!BA78*$C78</f>
        <v>0</v>
      </c>
      <c r="BB78" s="23" t="n">
        <f aca="false">'Qté 2027'!BB78*$C78</f>
        <v>0</v>
      </c>
      <c r="BC78" s="23" t="n">
        <f aca="false">'Qté 2027'!BC78*$C78</f>
        <v>0</v>
      </c>
      <c r="BD78" s="15" t="n">
        <f aca="false">SUM(D78:BC78)</f>
        <v>86.5392</v>
      </c>
    </row>
    <row r="79" customFormat="false" ht="15" hidden="false" customHeight="false" outlineLevel="0" collapsed="false">
      <c r="A79" s="5" t="s">
        <v>255</v>
      </c>
      <c r="B79" s="5" t="s">
        <v>45</v>
      </c>
      <c r="C79" s="22" t="n">
        <v>23.85</v>
      </c>
      <c r="D79" s="23" t="n">
        <f aca="false">'Qté 2027'!D79*$C79</f>
        <v>0</v>
      </c>
      <c r="E79" s="23" t="n">
        <f aca="false">'Qté 2027'!E79*$C79</f>
        <v>0</v>
      </c>
      <c r="F79" s="23" t="n">
        <f aca="false">'Qté 2027'!F79*$C79</f>
        <v>0</v>
      </c>
      <c r="G79" s="23" t="n">
        <f aca="false">'Qté 2027'!G79*$C79</f>
        <v>0</v>
      </c>
      <c r="H79" s="23" t="n">
        <f aca="false">'Qté 2027'!H79*$C79</f>
        <v>0</v>
      </c>
      <c r="I79" s="23" t="n">
        <f aca="false">'Qté 2027'!I79*$C79</f>
        <v>0</v>
      </c>
      <c r="J79" s="23" t="n">
        <f aca="false">'Qté 2027'!J79*$C79</f>
        <v>0</v>
      </c>
      <c r="K79" s="23" t="n">
        <f aca="false">'Qté 2027'!K79*$C79</f>
        <v>0</v>
      </c>
      <c r="L79" s="23" t="n">
        <f aca="false">'Qté 2027'!L79*$C79</f>
        <v>0</v>
      </c>
      <c r="M79" s="23" t="n">
        <f aca="false">'Qté 2027'!M79*$C79</f>
        <v>0</v>
      </c>
      <c r="N79" s="23" t="n">
        <f aca="false">'Qté 2027'!N79*$C79</f>
        <v>0.477</v>
      </c>
      <c r="O79" s="23" t="n">
        <f aca="false">'Qté 2027'!O79*$C79</f>
        <v>3.816</v>
      </c>
      <c r="P79" s="23" t="n">
        <f aca="false">'Qté 2027'!P79*$C79</f>
        <v>6.4395</v>
      </c>
      <c r="Q79" s="23" t="n">
        <f aca="false">'Qté 2027'!Q79*$C79</f>
        <v>3.816</v>
      </c>
      <c r="R79" s="23" t="n">
        <f aca="false">'Qté 2027'!R79*$C79</f>
        <v>0.477</v>
      </c>
      <c r="S79" s="23" t="n">
        <f aca="false">'Qté 2027'!S79*$C79</f>
        <v>0</v>
      </c>
      <c r="T79" s="23" t="n">
        <f aca="false">'Qté 2027'!T79*$C79</f>
        <v>0</v>
      </c>
      <c r="U79" s="23" t="n">
        <f aca="false">'Qté 2027'!U79*$C79</f>
        <v>1.6695</v>
      </c>
      <c r="V79" s="23" t="n">
        <f aca="false">'Qté 2027'!V79*$C79</f>
        <v>3.816</v>
      </c>
      <c r="W79" s="23" t="n">
        <f aca="false">'Qté 2027'!W79*$C79</f>
        <v>2.6235</v>
      </c>
      <c r="X79" s="23" t="n">
        <f aca="false">'Qté 2027'!X79*$C79</f>
        <v>2.862</v>
      </c>
      <c r="Y79" s="23" t="n">
        <f aca="false">'Qté 2027'!Y79*$C79</f>
        <v>5.4855</v>
      </c>
      <c r="Z79" s="23" t="n">
        <f aca="false">'Qté 2027'!Z79*$C79</f>
        <v>3.5775</v>
      </c>
      <c r="AA79" s="23" t="n">
        <f aca="false">'Qté 2027'!AA79*$C79</f>
        <v>0.477</v>
      </c>
      <c r="AB79" s="23" t="n">
        <f aca="false">'Qté 2027'!AB79*$C79</f>
        <v>0</v>
      </c>
      <c r="AC79" s="23" t="n">
        <f aca="false">'Qté 2027'!AC79*$C79</f>
        <v>0</v>
      </c>
      <c r="AD79" s="23" t="n">
        <f aca="false">'Qté 2027'!AD79*$C79</f>
        <v>0.477</v>
      </c>
      <c r="AE79" s="23" t="n">
        <f aca="false">'Qté 2027'!AE79*$C79</f>
        <v>3.1005</v>
      </c>
      <c r="AF79" s="23" t="n">
        <f aca="false">'Qté 2027'!AF79*$C79</f>
        <v>8.3475</v>
      </c>
      <c r="AG79" s="23" t="n">
        <f aca="false">'Qté 2027'!AG79*$C79</f>
        <v>10.017</v>
      </c>
      <c r="AH79" s="23" t="n">
        <f aca="false">'Qté 2027'!AH79*$C79</f>
        <v>4.0545</v>
      </c>
      <c r="AI79" s="23" t="n">
        <f aca="false">'Qté 2027'!AI79*$C79</f>
        <v>0</v>
      </c>
      <c r="AJ79" s="23" t="n">
        <f aca="false">'Qté 2027'!AJ79*$C79</f>
        <v>0</v>
      </c>
      <c r="AK79" s="23" t="n">
        <f aca="false">'Qté 2027'!AK79*$C79</f>
        <v>1.908</v>
      </c>
      <c r="AL79" s="23" t="n">
        <f aca="false">'Qté 2027'!AL79*$C79</f>
        <v>4.77</v>
      </c>
      <c r="AM79" s="23" t="n">
        <f aca="false">'Qté 2027'!AM79*$C79</f>
        <v>3.5775</v>
      </c>
      <c r="AN79" s="23" t="n">
        <f aca="false">'Qté 2027'!AN79*$C79</f>
        <v>0.7155</v>
      </c>
      <c r="AO79" s="23" t="n">
        <f aca="false">'Qté 2027'!AO79*$C79</f>
        <v>0</v>
      </c>
      <c r="AP79" s="23" t="n">
        <f aca="false">'Qté 2027'!AP79*$C79</f>
        <v>0</v>
      </c>
      <c r="AQ79" s="23" t="n">
        <f aca="false">'Qté 2027'!AQ79*$C79</f>
        <v>0</v>
      </c>
      <c r="AR79" s="23" t="n">
        <f aca="false">'Qté 2027'!AR79*$C79</f>
        <v>0</v>
      </c>
      <c r="AS79" s="23" t="n">
        <f aca="false">'Qté 2027'!AS79*$C79</f>
        <v>0</v>
      </c>
      <c r="AT79" s="23" t="n">
        <f aca="false">'Qté 2027'!AT79*$C79</f>
        <v>1.908</v>
      </c>
      <c r="AU79" s="23" t="n">
        <f aca="false">'Qté 2027'!AU79*$C79</f>
        <v>4.0545</v>
      </c>
      <c r="AV79" s="23" t="n">
        <f aca="false">'Qté 2027'!AV79*$C79</f>
        <v>1.908</v>
      </c>
      <c r="AW79" s="23" t="n">
        <f aca="false">'Qté 2027'!AW79*$C79</f>
        <v>0</v>
      </c>
      <c r="AX79" s="23" t="n">
        <f aca="false">'Qté 2027'!AX79*$C79</f>
        <v>0</v>
      </c>
      <c r="AY79" s="23" t="n">
        <f aca="false">'Qté 2027'!AY79*$C79</f>
        <v>0</v>
      </c>
      <c r="AZ79" s="23" t="n">
        <f aca="false">'Qté 2027'!AZ79*$C79</f>
        <v>0</v>
      </c>
      <c r="BA79" s="23" t="n">
        <f aca="false">'Qté 2027'!BA79*$C79</f>
        <v>0</v>
      </c>
      <c r="BB79" s="23" t="n">
        <f aca="false">'Qté 2027'!BB79*$C79</f>
        <v>0</v>
      </c>
      <c r="BC79" s="23" t="n">
        <f aca="false">'Qté 2027'!BC79*$C79</f>
        <v>0</v>
      </c>
      <c r="BD79" s="15" t="n">
        <f aca="false">SUM(D79:BC79)</f>
        <v>80.3745</v>
      </c>
    </row>
    <row r="80" customFormat="false" ht="15" hidden="false" customHeight="false" outlineLevel="0" collapsed="false">
      <c r="A80" s="5" t="s">
        <v>256</v>
      </c>
      <c r="B80" s="5" t="s">
        <v>69</v>
      </c>
      <c r="C80" s="22" t="n">
        <v>17.16</v>
      </c>
      <c r="D80" s="23" t="n">
        <f aca="false">'Qté 2027'!D80*$C80</f>
        <v>0</v>
      </c>
      <c r="E80" s="23" t="n">
        <f aca="false">'Qté 2027'!E80*$C80</f>
        <v>0</v>
      </c>
      <c r="F80" s="23" t="n">
        <f aca="false">'Qté 2027'!F80*$C80</f>
        <v>0</v>
      </c>
      <c r="G80" s="23" t="n">
        <f aca="false">'Qté 2027'!G80*$C80</f>
        <v>0</v>
      </c>
      <c r="H80" s="23" t="n">
        <f aca="false">'Qté 2027'!H80*$C80</f>
        <v>0</v>
      </c>
      <c r="I80" s="23" t="n">
        <f aca="false">'Qté 2027'!I80*$C80</f>
        <v>0</v>
      </c>
      <c r="J80" s="23" t="n">
        <f aca="false">'Qté 2027'!J80*$C80</f>
        <v>0</v>
      </c>
      <c r="K80" s="23" t="n">
        <f aca="false">'Qté 2027'!K80*$C80</f>
        <v>0</v>
      </c>
      <c r="L80" s="23" t="n">
        <f aca="false">'Qté 2027'!L80*$C80</f>
        <v>0</v>
      </c>
      <c r="M80" s="23" t="n">
        <f aca="false">'Qté 2027'!M80*$C80</f>
        <v>0</v>
      </c>
      <c r="N80" s="23" t="n">
        <f aca="false">'Qté 2027'!N80*$C80</f>
        <v>0</v>
      </c>
      <c r="O80" s="23" t="n">
        <f aca="false">'Qté 2027'!O80*$C80</f>
        <v>0</v>
      </c>
      <c r="P80" s="23" t="n">
        <f aca="false">'Qté 2027'!P80*$C80</f>
        <v>0</v>
      </c>
      <c r="Q80" s="23" t="n">
        <f aca="false">'Qté 2027'!Q80*$C80</f>
        <v>0</v>
      </c>
      <c r="R80" s="23" t="n">
        <f aca="false">'Qté 2027'!R80*$C80</f>
        <v>0</v>
      </c>
      <c r="S80" s="23" t="n">
        <f aca="false">'Qté 2027'!S80*$C80</f>
        <v>0</v>
      </c>
      <c r="T80" s="23" t="n">
        <f aca="false">'Qté 2027'!T80*$C80</f>
        <v>0</v>
      </c>
      <c r="U80" s="23" t="n">
        <f aca="false">'Qté 2027'!U80*$C80</f>
        <v>0</v>
      </c>
      <c r="V80" s="23" t="n">
        <f aca="false">'Qté 2027'!V80*$C80</f>
        <v>1.3728</v>
      </c>
      <c r="W80" s="23" t="n">
        <f aca="false">'Qté 2027'!W80*$C80</f>
        <v>2.7456</v>
      </c>
      <c r="X80" s="23" t="n">
        <f aca="false">'Qté 2027'!X80*$C80</f>
        <v>1.3728</v>
      </c>
      <c r="Y80" s="23" t="n">
        <f aca="false">'Qté 2027'!Y80*$C80</f>
        <v>0</v>
      </c>
      <c r="Z80" s="23" t="n">
        <f aca="false">'Qté 2027'!Z80*$C80</f>
        <v>1.5444</v>
      </c>
      <c r="AA80" s="23" t="n">
        <f aca="false">'Qté 2027'!AA80*$C80</f>
        <v>7.2072</v>
      </c>
      <c r="AB80" s="23" t="n">
        <f aca="false">'Qté 2027'!AB80*$C80</f>
        <v>12.012</v>
      </c>
      <c r="AC80" s="23" t="n">
        <f aca="false">'Qté 2027'!AC80*$C80</f>
        <v>11.8404</v>
      </c>
      <c r="AD80" s="23" t="n">
        <f aca="false">'Qté 2027'!AD80*$C80</f>
        <v>8.58</v>
      </c>
      <c r="AE80" s="23" t="n">
        <f aca="false">'Qté 2027'!AE80*$C80</f>
        <v>5.148</v>
      </c>
      <c r="AF80" s="23" t="n">
        <f aca="false">'Qté 2027'!AF80*$C80</f>
        <v>8.0652</v>
      </c>
      <c r="AG80" s="23" t="n">
        <f aca="false">'Qté 2027'!AG80*$C80</f>
        <v>11.3256</v>
      </c>
      <c r="AH80" s="23" t="n">
        <f aca="false">'Qté 2027'!AH80*$C80</f>
        <v>6.864</v>
      </c>
      <c r="AI80" s="23" t="n">
        <f aca="false">'Qté 2027'!AI80*$C80</f>
        <v>1.3728</v>
      </c>
      <c r="AJ80" s="23" t="n">
        <f aca="false">'Qté 2027'!AJ80*$C80</f>
        <v>0</v>
      </c>
      <c r="AK80" s="23" t="n">
        <f aca="false">'Qté 2027'!AK80*$C80</f>
        <v>0</v>
      </c>
      <c r="AL80" s="23" t="n">
        <f aca="false">'Qté 2027'!AL80*$C80</f>
        <v>0</v>
      </c>
      <c r="AM80" s="23" t="n">
        <f aca="false">'Qté 2027'!AM80*$C80</f>
        <v>0</v>
      </c>
      <c r="AN80" s="23" t="n">
        <f aca="false">'Qté 2027'!AN80*$C80</f>
        <v>0</v>
      </c>
      <c r="AO80" s="23" t="n">
        <f aca="false">'Qté 2027'!AO80*$C80</f>
        <v>0</v>
      </c>
      <c r="AP80" s="23" t="n">
        <f aca="false">'Qté 2027'!AP80*$C80</f>
        <v>0</v>
      </c>
      <c r="AQ80" s="23" t="n">
        <f aca="false">'Qté 2027'!AQ80*$C80</f>
        <v>0</v>
      </c>
      <c r="AR80" s="23" t="n">
        <f aca="false">'Qté 2027'!AR80*$C80</f>
        <v>0</v>
      </c>
      <c r="AS80" s="23" t="n">
        <f aca="false">'Qté 2027'!AS80*$C80</f>
        <v>0</v>
      </c>
      <c r="AT80" s="23" t="n">
        <f aca="false">'Qté 2027'!AT80*$C80</f>
        <v>0</v>
      </c>
      <c r="AU80" s="23" t="n">
        <f aca="false">'Qté 2027'!AU80*$C80</f>
        <v>0</v>
      </c>
      <c r="AV80" s="23" t="n">
        <f aca="false">'Qté 2027'!AV80*$C80</f>
        <v>0</v>
      </c>
      <c r="AW80" s="23" t="n">
        <f aca="false">'Qté 2027'!AW80*$C80</f>
        <v>0</v>
      </c>
      <c r="AX80" s="23" t="n">
        <f aca="false">'Qté 2027'!AX80*$C80</f>
        <v>0</v>
      </c>
      <c r="AY80" s="23" t="n">
        <f aca="false">'Qté 2027'!AY80*$C80</f>
        <v>0</v>
      </c>
      <c r="AZ80" s="23" t="n">
        <f aca="false">'Qté 2027'!AZ80*$C80</f>
        <v>0</v>
      </c>
      <c r="BA80" s="23" t="n">
        <f aca="false">'Qté 2027'!BA80*$C80</f>
        <v>0</v>
      </c>
      <c r="BB80" s="23" t="n">
        <f aca="false">'Qté 2027'!BB80*$C80</f>
        <v>0</v>
      </c>
      <c r="BC80" s="23" t="n">
        <f aca="false">'Qté 2027'!BC80*$C80</f>
        <v>0</v>
      </c>
      <c r="BD80" s="15" t="n">
        <f aca="false">SUM(D80:BC80)</f>
        <v>79.4508</v>
      </c>
    </row>
    <row r="81" customFormat="false" ht="15" hidden="false" customHeight="false" outlineLevel="0" collapsed="false">
      <c r="A81" s="5" t="s">
        <v>257</v>
      </c>
      <c r="B81" s="5" t="s">
        <v>62</v>
      </c>
      <c r="C81" s="22" t="n">
        <v>39.74</v>
      </c>
      <c r="D81" s="23" t="n">
        <f aca="false">'Qté 2027'!D81*$C81</f>
        <v>0</v>
      </c>
      <c r="E81" s="23" t="n">
        <f aca="false">'Qté 2027'!E81*$C81</f>
        <v>0</v>
      </c>
      <c r="F81" s="23" t="n">
        <f aca="false">'Qté 2027'!F81*$C81</f>
        <v>0</v>
      </c>
      <c r="G81" s="23" t="n">
        <f aca="false">'Qté 2027'!G81*$C81</f>
        <v>0</v>
      </c>
      <c r="H81" s="23" t="n">
        <f aca="false">'Qté 2027'!H81*$C81</f>
        <v>0</v>
      </c>
      <c r="I81" s="23" t="n">
        <f aca="false">'Qté 2027'!I81*$C81</f>
        <v>0</v>
      </c>
      <c r="J81" s="23" t="n">
        <f aca="false">'Qté 2027'!J81*$C81</f>
        <v>0</v>
      </c>
      <c r="K81" s="23" t="n">
        <f aca="false">'Qté 2027'!K81*$C81</f>
        <v>0</v>
      </c>
      <c r="L81" s="23" t="n">
        <f aca="false">'Qté 2027'!L81*$C81</f>
        <v>0</v>
      </c>
      <c r="M81" s="23" t="n">
        <f aca="false">'Qté 2027'!M81*$C81</f>
        <v>0</v>
      </c>
      <c r="N81" s="23" t="n">
        <f aca="false">'Qté 2027'!N81*$C81</f>
        <v>0</v>
      </c>
      <c r="O81" s="23" t="n">
        <f aca="false">'Qté 2027'!O81*$C81</f>
        <v>0</v>
      </c>
      <c r="P81" s="23" t="n">
        <f aca="false">'Qté 2027'!P81*$C81</f>
        <v>0</v>
      </c>
      <c r="Q81" s="23" t="n">
        <f aca="false">'Qté 2027'!Q81*$C81</f>
        <v>6.3584</v>
      </c>
      <c r="R81" s="23" t="n">
        <f aca="false">'Qté 2027'!R81*$C81</f>
        <v>12.7168</v>
      </c>
      <c r="S81" s="23" t="n">
        <f aca="false">'Qté 2027'!S81*$C81</f>
        <v>6.3584</v>
      </c>
      <c r="T81" s="23" t="n">
        <f aca="false">'Qté 2027'!T81*$C81</f>
        <v>6.3584</v>
      </c>
      <c r="U81" s="23" t="n">
        <f aca="false">'Qté 2027'!U81*$C81</f>
        <v>12.7168</v>
      </c>
      <c r="V81" s="23" t="n">
        <f aca="false">'Qté 2027'!V81*$C81</f>
        <v>9.5376</v>
      </c>
      <c r="W81" s="23" t="n">
        <f aca="false">'Qté 2027'!W81*$C81</f>
        <v>9.5376</v>
      </c>
      <c r="X81" s="23" t="n">
        <f aca="false">'Qté 2027'!X81*$C81</f>
        <v>9.5376</v>
      </c>
      <c r="Y81" s="23" t="n">
        <f aca="false">'Qté 2027'!Y81*$C81</f>
        <v>3.1792</v>
      </c>
      <c r="Z81" s="23" t="n">
        <f aca="false">'Qté 2027'!Z81*$C81</f>
        <v>0</v>
      </c>
      <c r="AA81" s="23" t="n">
        <f aca="false">'Qté 2027'!AA81*$C81</f>
        <v>0</v>
      </c>
      <c r="AB81" s="23" t="n">
        <f aca="false">'Qté 2027'!AB81*$C81</f>
        <v>0</v>
      </c>
      <c r="AC81" s="23" t="n">
        <f aca="false">'Qté 2027'!AC81*$C81</f>
        <v>0</v>
      </c>
      <c r="AD81" s="23" t="n">
        <f aca="false">'Qté 2027'!AD81*$C81</f>
        <v>0</v>
      </c>
      <c r="AE81" s="23" t="n">
        <f aca="false">'Qté 2027'!AE81*$C81</f>
        <v>0</v>
      </c>
      <c r="AF81" s="23" t="n">
        <f aca="false">'Qté 2027'!AF81*$C81</f>
        <v>0</v>
      </c>
      <c r="AG81" s="23" t="n">
        <f aca="false">'Qté 2027'!AG81*$C81</f>
        <v>0</v>
      </c>
      <c r="AH81" s="23" t="n">
        <f aca="false">'Qté 2027'!AH81*$C81</f>
        <v>0</v>
      </c>
      <c r="AI81" s="23" t="n">
        <f aca="false">'Qté 2027'!AI81*$C81</f>
        <v>0</v>
      </c>
      <c r="AJ81" s="23" t="n">
        <f aca="false">'Qté 2027'!AJ81*$C81</f>
        <v>0</v>
      </c>
      <c r="AK81" s="23" t="n">
        <f aca="false">'Qté 2027'!AK81*$C81</f>
        <v>0</v>
      </c>
      <c r="AL81" s="23" t="n">
        <f aca="false">'Qté 2027'!AL81*$C81</f>
        <v>0</v>
      </c>
      <c r="AM81" s="23" t="n">
        <f aca="false">'Qté 2027'!AM81*$C81</f>
        <v>0</v>
      </c>
      <c r="AN81" s="23" t="n">
        <f aca="false">'Qté 2027'!AN81*$C81</f>
        <v>0</v>
      </c>
      <c r="AO81" s="23" t="n">
        <f aca="false">'Qté 2027'!AO81*$C81</f>
        <v>0</v>
      </c>
      <c r="AP81" s="23" t="n">
        <f aca="false">'Qté 2027'!AP81*$C81</f>
        <v>0</v>
      </c>
      <c r="AQ81" s="23" t="n">
        <f aca="false">'Qté 2027'!AQ81*$C81</f>
        <v>0</v>
      </c>
      <c r="AR81" s="23" t="n">
        <f aca="false">'Qté 2027'!AR81*$C81</f>
        <v>0</v>
      </c>
      <c r="AS81" s="23" t="n">
        <f aca="false">'Qté 2027'!AS81*$C81</f>
        <v>0</v>
      </c>
      <c r="AT81" s="23" t="n">
        <f aca="false">'Qté 2027'!AT81*$C81</f>
        <v>0</v>
      </c>
      <c r="AU81" s="23" t="n">
        <f aca="false">'Qté 2027'!AU81*$C81</f>
        <v>0</v>
      </c>
      <c r="AV81" s="23" t="n">
        <f aca="false">'Qté 2027'!AV81*$C81</f>
        <v>0</v>
      </c>
      <c r="AW81" s="23" t="n">
        <f aca="false">'Qté 2027'!AW81*$C81</f>
        <v>0</v>
      </c>
      <c r="AX81" s="23" t="n">
        <f aca="false">'Qté 2027'!AX81*$C81</f>
        <v>0</v>
      </c>
      <c r="AY81" s="23" t="n">
        <f aca="false">'Qté 2027'!AY81*$C81</f>
        <v>0</v>
      </c>
      <c r="AZ81" s="23" t="n">
        <f aca="false">'Qté 2027'!AZ81*$C81</f>
        <v>0</v>
      </c>
      <c r="BA81" s="23" t="n">
        <f aca="false">'Qté 2027'!BA81*$C81</f>
        <v>0</v>
      </c>
      <c r="BB81" s="23" t="n">
        <f aca="false">'Qté 2027'!BB81*$C81</f>
        <v>0</v>
      </c>
      <c r="BC81" s="23" t="n">
        <f aca="false">'Qté 2027'!BC81*$C81</f>
        <v>0</v>
      </c>
      <c r="BD81" s="15" t="n">
        <f aca="false">SUM(D81:BC81)</f>
        <v>76.3008</v>
      </c>
    </row>
    <row r="82" customFormat="false" ht="15" hidden="false" customHeight="false" outlineLevel="0" collapsed="false">
      <c r="A82" s="5" t="s">
        <v>258</v>
      </c>
      <c r="B82" s="5" t="s">
        <v>69</v>
      </c>
      <c r="C82" s="22" t="n">
        <v>10.8</v>
      </c>
      <c r="D82" s="23" t="n">
        <f aca="false">'Qté 2027'!D82*$C82</f>
        <v>0</v>
      </c>
      <c r="E82" s="23" t="n">
        <f aca="false">'Qté 2027'!E82*$C82</f>
        <v>0</v>
      </c>
      <c r="F82" s="23" t="n">
        <f aca="false">'Qté 2027'!F82*$C82</f>
        <v>0</v>
      </c>
      <c r="G82" s="23" t="n">
        <f aca="false">'Qté 2027'!G82*$C82</f>
        <v>0</v>
      </c>
      <c r="H82" s="23" t="n">
        <f aca="false">'Qté 2027'!H82*$C82</f>
        <v>0</v>
      </c>
      <c r="I82" s="23" t="n">
        <f aca="false">'Qté 2027'!I82*$C82</f>
        <v>0</v>
      </c>
      <c r="J82" s="23" t="n">
        <f aca="false">'Qté 2027'!J82*$C82</f>
        <v>0</v>
      </c>
      <c r="K82" s="23" t="n">
        <f aca="false">'Qté 2027'!K82*$C82</f>
        <v>0</v>
      </c>
      <c r="L82" s="23" t="n">
        <f aca="false">'Qté 2027'!L82*$C82</f>
        <v>0</v>
      </c>
      <c r="M82" s="23" t="n">
        <f aca="false">'Qté 2027'!M82*$C82</f>
        <v>0</v>
      </c>
      <c r="N82" s="23" t="n">
        <f aca="false">'Qté 2027'!N82*$C82</f>
        <v>0</v>
      </c>
      <c r="O82" s="23" t="n">
        <f aca="false">'Qté 2027'!O82*$C82</f>
        <v>0</v>
      </c>
      <c r="P82" s="23" t="n">
        <f aca="false">'Qté 2027'!P82*$C82</f>
        <v>0</v>
      </c>
      <c r="Q82" s="23" t="n">
        <f aca="false">'Qté 2027'!Q82*$C82</f>
        <v>1.944</v>
      </c>
      <c r="R82" s="23" t="n">
        <f aca="false">'Qté 2027'!R82*$C82</f>
        <v>6.588</v>
      </c>
      <c r="S82" s="23" t="n">
        <f aca="false">'Qté 2027'!S82*$C82</f>
        <v>8.208</v>
      </c>
      <c r="T82" s="23" t="n">
        <f aca="false">'Qté 2027'!T82*$C82</f>
        <v>4.428</v>
      </c>
      <c r="U82" s="23" t="n">
        <f aca="false">'Qté 2027'!U82*$C82</f>
        <v>1.836</v>
      </c>
      <c r="V82" s="23" t="n">
        <f aca="false">'Qté 2027'!V82*$C82</f>
        <v>1.944</v>
      </c>
      <c r="W82" s="23" t="n">
        <f aca="false">'Qté 2027'!W82*$C82</f>
        <v>1.836</v>
      </c>
      <c r="X82" s="23" t="n">
        <f aca="false">'Qté 2027'!X82*$C82</f>
        <v>3.672</v>
      </c>
      <c r="Y82" s="23" t="n">
        <f aca="false">'Qté 2027'!Y82*$C82</f>
        <v>7.452</v>
      </c>
      <c r="Z82" s="23" t="n">
        <f aca="false">'Qté 2027'!Z82*$C82</f>
        <v>9.072</v>
      </c>
      <c r="AA82" s="23" t="n">
        <f aca="false">'Qté 2027'!AA82*$C82</f>
        <v>7.884</v>
      </c>
      <c r="AB82" s="23" t="n">
        <f aca="false">'Qté 2027'!AB82*$C82</f>
        <v>6.372</v>
      </c>
      <c r="AC82" s="23" t="n">
        <f aca="false">'Qté 2027'!AC82*$C82</f>
        <v>4.752</v>
      </c>
      <c r="AD82" s="23" t="n">
        <f aca="false">'Qté 2027'!AD82*$C82</f>
        <v>2.916</v>
      </c>
      <c r="AE82" s="23" t="n">
        <f aca="false">'Qté 2027'!AE82*$C82</f>
        <v>0.972</v>
      </c>
      <c r="AF82" s="23" t="n">
        <f aca="false">'Qté 2027'!AF82*$C82</f>
        <v>0</v>
      </c>
      <c r="AG82" s="23" t="n">
        <f aca="false">'Qté 2027'!AG82*$C82</f>
        <v>0</v>
      </c>
      <c r="AH82" s="23" t="n">
        <f aca="false">'Qté 2027'!AH82*$C82</f>
        <v>0</v>
      </c>
      <c r="AI82" s="23" t="n">
        <f aca="false">'Qté 2027'!AI82*$C82</f>
        <v>0</v>
      </c>
      <c r="AJ82" s="23" t="n">
        <f aca="false">'Qté 2027'!AJ82*$C82</f>
        <v>0</v>
      </c>
      <c r="AK82" s="23" t="n">
        <f aca="false">'Qté 2027'!AK82*$C82</f>
        <v>0</v>
      </c>
      <c r="AL82" s="23" t="n">
        <f aca="false">'Qté 2027'!AL82*$C82</f>
        <v>0</v>
      </c>
      <c r="AM82" s="23" t="n">
        <f aca="false">'Qté 2027'!AM82*$C82</f>
        <v>0</v>
      </c>
      <c r="AN82" s="23" t="n">
        <f aca="false">'Qté 2027'!AN82*$C82</f>
        <v>0</v>
      </c>
      <c r="AO82" s="23" t="n">
        <f aca="false">'Qté 2027'!AO82*$C82</f>
        <v>0</v>
      </c>
      <c r="AP82" s="23" t="n">
        <f aca="false">'Qté 2027'!AP82*$C82</f>
        <v>0</v>
      </c>
      <c r="AQ82" s="23" t="n">
        <f aca="false">'Qté 2027'!AQ82*$C82</f>
        <v>0</v>
      </c>
      <c r="AR82" s="23" t="n">
        <f aca="false">'Qté 2027'!AR82*$C82</f>
        <v>0</v>
      </c>
      <c r="AS82" s="23" t="n">
        <f aca="false">'Qté 2027'!AS82*$C82</f>
        <v>0</v>
      </c>
      <c r="AT82" s="23" t="n">
        <f aca="false">'Qté 2027'!AT82*$C82</f>
        <v>0</v>
      </c>
      <c r="AU82" s="23" t="n">
        <f aca="false">'Qté 2027'!AU82*$C82</f>
        <v>0</v>
      </c>
      <c r="AV82" s="23" t="n">
        <f aca="false">'Qté 2027'!AV82*$C82</f>
        <v>0</v>
      </c>
      <c r="AW82" s="23" t="n">
        <f aca="false">'Qté 2027'!AW82*$C82</f>
        <v>0</v>
      </c>
      <c r="AX82" s="23" t="n">
        <f aca="false">'Qté 2027'!AX82*$C82</f>
        <v>0</v>
      </c>
      <c r="AY82" s="23" t="n">
        <f aca="false">'Qté 2027'!AY82*$C82</f>
        <v>0</v>
      </c>
      <c r="AZ82" s="23" t="n">
        <f aca="false">'Qté 2027'!AZ82*$C82</f>
        <v>0</v>
      </c>
      <c r="BA82" s="23" t="n">
        <f aca="false">'Qté 2027'!BA82*$C82</f>
        <v>0</v>
      </c>
      <c r="BB82" s="23" t="n">
        <f aca="false">'Qté 2027'!BB82*$C82</f>
        <v>0</v>
      </c>
      <c r="BC82" s="23" t="n">
        <f aca="false">'Qté 2027'!BC82*$C82</f>
        <v>0</v>
      </c>
      <c r="BD82" s="15" t="n">
        <f aca="false">SUM(D82:BC82)</f>
        <v>69.876</v>
      </c>
    </row>
    <row r="83" customFormat="false" ht="15" hidden="false" customHeight="false" outlineLevel="0" collapsed="false">
      <c r="A83" s="5" t="s">
        <v>259</v>
      </c>
      <c r="B83" s="5" t="s">
        <v>45</v>
      </c>
      <c r="C83" s="22" t="n">
        <v>21.08</v>
      </c>
      <c r="D83" s="23" t="n">
        <f aca="false">'Qté 2027'!D83*$C83</f>
        <v>0</v>
      </c>
      <c r="E83" s="23" t="n">
        <f aca="false">'Qté 2027'!E83*$C83</f>
        <v>0</v>
      </c>
      <c r="F83" s="23" t="n">
        <f aca="false">'Qté 2027'!F83*$C83</f>
        <v>0</v>
      </c>
      <c r="G83" s="23" t="n">
        <f aca="false">'Qté 2027'!G83*$C83</f>
        <v>0</v>
      </c>
      <c r="H83" s="23" t="n">
        <f aca="false">'Qté 2027'!H83*$C83</f>
        <v>0</v>
      </c>
      <c r="I83" s="23" t="n">
        <f aca="false">'Qté 2027'!I83*$C83</f>
        <v>0</v>
      </c>
      <c r="J83" s="23" t="n">
        <f aca="false">'Qté 2027'!J83*$C83</f>
        <v>0</v>
      </c>
      <c r="K83" s="23" t="n">
        <f aca="false">'Qté 2027'!K83*$C83</f>
        <v>1.2648</v>
      </c>
      <c r="L83" s="23" t="n">
        <f aca="false">'Qté 2027'!L83*$C83</f>
        <v>2.3188</v>
      </c>
      <c r="M83" s="23" t="n">
        <f aca="false">'Qté 2027'!M83*$C83</f>
        <v>1.2648</v>
      </c>
      <c r="N83" s="23" t="n">
        <f aca="false">'Qté 2027'!N83*$C83</f>
        <v>1.8972</v>
      </c>
      <c r="O83" s="23" t="n">
        <f aca="false">'Qté 2027'!O83*$C83</f>
        <v>3.7944</v>
      </c>
      <c r="P83" s="23" t="n">
        <f aca="false">'Qté 2027'!P83*$C83</f>
        <v>1.8972</v>
      </c>
      <c r="Q83" s="23" t="n">
        <f aca="false">'Qté 2027'!Q83*$C83</f>
        <v>1.8972</v>
      </c>
      <c r="R83" s="23" t="n">
        <f aca="false">'Qté 2027'!R83*$C83</f>
        <v>3.7944</v>
      </c>
      <c r="S83" s="23" t="n">
        <f aca="false">'Qté 2027'!S83*$C83</f>
        <v>1.8972</v>
      </c>
      <c r="T83" s="23" t="n">
        <f aca="false">'Qté 2027'!T83*$C83</f>
        <v>0</v>
      </c>
      <c r="U83" s="23" t="n">
        <f aca="false">'Qté 2027'!U83*$C83</f>
        <v>1.2648</v>
      </c>
      <c r="V83" s="23" t="n">
        <f aca="false">'Qté 2027'!V83*$C83</f>
        <v>2.3188</v>
      </c>
      <c r="W83" s="23" t="n">
        <f aca="false">'Qté 2027'!W83*$C83</f>
        <v>1.2648</v>
      </c>
      <c r="X83" s="23" t="n">
        <f aca="false">'Qté 2027'!X83*$C83</f>
        <v>1.2648</v>
      </c>
      <c r="Y83" s="23" t="n">
        <f aca="false">'Qté 2027'!Y83*$C83</f>
        <v>4.8484</v>
      </c>
      <c r="Z83" s="23" t="n">
        <f aca="false">'Qté 2027'!Z83*$C83</f>
        <v>7.7996</v>
      </c>
      <c r="AA83" s="23" t="n">
        <f aca="false">'Qté 2027'!AA83*$C83</f>
        <v>6.1132</v>
      </c>
      <c r="AB83" s="23" t="n">
        <f aca="false">'Qté 2027'!AB83*$C83</f>
        <v>4.216</v>
      </c>
      <c r="AC83" s="23" t="n">
        <f aca="false">'Qté 2027'!AC83*$C83</f>
        <v>6.5348</v>
      </c>
      <c r="AD83" s="23" t="n">
        <f aca="false">'Qté 2027'!AD83*$C83</f>
        <v>6.9564</v>
      </c>
      <c r="AE83" s="23" t="n">
        <f aca="false">'Qté 2027'!AE83*$C83</f>
        <v>4.0052</v>
      </c>
      <c r="AF83" s="23" t="n">
        <f aca="false">'Qté 2027'!AF83*$C83</f>
        <v>1.2648</v>
      </c>
      <c r="AG83" s="23" t="n">
        <f aca="false">'Qté 2027'!AG83*$C83</f>
        <v>0</v>
      </c>
      <c r="AH83" s="23" t="n">
        <f aca="false">'Qté 2027'!AH83*$C83</f>
        <v>0</v>
      </c>
      <c r="AI83" s="23" t="n">
        <f aca="false">'Qté 2027'!AI83*$C83</f>
        <v>0</v>
      </c>
      <c r="AJ83" s="23" t="n">
        <f aca="false">'Qté 2027'!AJ83*$C83</f>
        <v>0</v>
      </c>
      <c r="AK83" s="23" t="n">
        <f aca="false">'Qté 2027'!AK83*$C83</f>
        <v>0</v>
      </c>
      <c r="AL83" s="23" t="n">
        <f aca="false">'Qté 2027'!AL83*$C83</f>
        <v>0</v>
      </c>
      <c r="AM83" s="23" t="n">
        <f aca="false">'Qté 2027'!AM83*$C83</f>
        <v>0</v>
      </c>
      <c r="AN83" s="23" t="n">
        <f aca="false">'Qté 2027'!AN83*$C83</f>
        <v>0</v>
      </c>
      <c r="AO83" s="23" t="n">
        <f aca="false">'Qté 2027'!AO83*$C83</f>
        <v>0</v>
      </c>
      <c r="AP83" s="23" t="n">
        <f aca="false">'Qté 2027'!AP83*$C83</f>
        <v>0</v>
      </c>
      <c r="AQ83" s="23" t="n">
        <f aca="false">'Qté 2027'!AQ83*$C83</f>
        <v>0</v>
      </c>
      <c r="AR83" s="23" t="n">
        <f aca="false">'Qté 2027'!AR83*$C83</f>
        <v>0</v>
      </c>
      <c r="AS83" s="23" t="n">
        <f aca="false">'Qté 2027'!AS83*$C83</f>
        <v>0</v>
      </c>
      <c r="AT83" s="23" t="n">
        <f aca="false">'Qté 2027'!AT83*$C83</f>
        <v>0</v>
      </c>
      <c r="AU83" s="23" t="n">
        <f aca="false">'Qté 2027'!AU83*$C83</f>
        <v>0</v>
      </c>
      <c r="AV83" s="23" t="n">
        <f aca="false">'Qté 2027'!AV83*$C83</f>
        <v>0</v>
      </c>
      <c r="AW83" s="23" t="n">
        <f aca="false">'Qté 2027'!AW83*$C83</f>
        <v>0</v>
      </c>
      <c r="AX83" s="23" t="n">
        <f aca="false">'Qté 2027'!AX83*$C83</f>
        <v>0</v>
      </c>
      <c r="AY83" s="23" t="n">
        <f aca="false">'Qté 2027'!AY83*$C83</f>
        <v>0</v>
      </c>
      <c r="AZ83" s="23" t="n">
        <f aca="false">'Qté 2027'!AZ83*$C83</f>
        <v>0</v>
      </c>
      <c r="BA83" s="23" t="n">
        <f aca="false">'Qté 2027'!BA83*$C83</f>
        <v>0</v>
      </c>
      <c r="BB83" s="23" t="n">
        <f aca="false">'Qté 2027'!BB83*$C83</f>
        <v>0</v>
      </c>
      <c r="BC83" s="23" t="n">
        <f aca="false">'Qté 2027'!BC83*$C83</f>
        <v>0</v>
      </c>
      <c r="BD83" s="15" t="n">
        <f aca="false">SUM(D83:BC83)</f>
        <v>67.8776</v>
      </c>
    </row>
    <row r="84" customFormat="false" ht="15" hidden="false" customHeight="false" outlineLevel="0" collapsed="false">
      <c r="A84" s="5" t="s">
        <v>260</v>
      </c>
      <c r="B84" s="5" t="s">
        <v>45</v>
      </c>
      <c r="C84" s="22" t="n">
        <v>23.15</v>
      </c>
      <c r="D84" s="23" t="n">
        <f aca="false">'Qté 2027'!D84*$C84</f>
        <v>0</v>
      </c>
      <c r="E84" s="23" t="n">
        <f aca="false">'Qté 2027'!E84*$C84</f>
        <v>0</v>
      </c>
      <c r="F84" s="23" t="n">
        <f aca="false">'Qté 2027'!F84*$C84</f>
        <v>0</v>
      </c>
      <c r="G84" s="23" t="n">
        <f aca="false">'Qté 2027'!G84*$C84</f>
        <v>0</v>
      </c>
      <c r="H84" s="23" t="n">
        <f aca="false">'Qté 2027'!H84*$C84</f>
        <v>0</v>
      </c>
      <c r="I84" s="23" t="n">
        <f aca="false">'Qté 2027'!I84*$C84</f>
        <v>0</v>
      </c>
      <c r="J84" s="23" t="n">
        <f aca="false">'Qté 2027'!J84*$C84</f>
        <v>0</v>
      </c>
      <c r="K84" s="23" t="n">
        <f aca="false">'Qté 2027'!K84*$C84</f>
        <v>0</v>
      </c>
      <c r="L84" s="23" t="n">
        <f aca="false">'Qté 2027'!L84*$C84</f>
        <v>0</v>
      </c>
      <c r="M84" s="23" t="n">
        <f aca="false">'Qté 2027'!M84*$C84</f>
        <v>0</v>
      </c>
      <c r="N84" s="23" t="n">
        <f aca="false">'Qté 2027'!N84*$C84</f>
        <v>0</v>
      </c>
      <c r="O84" s="23" t="n">
        <f aca="false">'Qté 2027'!O84*$C84</f>
        <v>0</v>
      </c>
      <c r="P84" s="23" t="n">
        <f aca="false">'Qté 2027'!P84*$C84</f>
        <v>2.0835</v>
      </c>
      <c r="Q84" s="23" t="n">
        <f aca="false">'Qté 2027'!Q84*$C84</f>
        <v>4.167</v>
      </c>
      <c r="R84" s="23" t="n">
        <f aca="false">'Qté 2027'!R84*$C84</f>
        <v>2.0835</v>
      </c>
      <c r="S84" s="23" t="n">
        <f aca="false">'Qté 2027'!S84*$C84</f>
        <v>0</v>
      </c>
      <c r="T84" s="23" t="n">
        <f aca="false">'Qté 2027'!T84*$C84</f>
        <v>1.852</v>
      </c>
      <c r="U84" s="23" t="n">
        <f aca="false">'Qté 2027'!U84*$C84</f>
        <v>3.704</v>
      </c>
      <c r="V84" s="23" t="n">
        <f aca="false">'Qté 2027'!V84*$C84</f>
        <v>1.852</v>
      </c>
      <c r="W84" s="23" t="n">
        <f aca="false">'Qté 2027'!W84*$C84</f>
        <v>0</v>
      </c>
      <c r="X84" s="23" t="n">
        <f aca="false">'Qté 2027'!X84*$C84</f>
        <v>3.9355</v>
      </c>
      <c r="Y84" s="23" t="n">
        <f aca="false">'Qté 2027'!Y84*$C84</f>
        <v>7.871</v>
      </c>
      <c r="Z84" s="23" t="n">
        <f aca="false">'Qté 2027'!Z84*$C84</f>
        <v>3.9355</v>
      </c>
      <c r="AA84" s="23" t="n">
        <f aca="false">'Qté 2027'!AA84*$C84</f>
        <v>1.852</v>
      </c>
      <c r="AB84" s="23" t="n">
        <f aca="false">'Qté 2027'!AB84*$C84</f>
        <v>3.704</v>
      </c>
      <c r="AC84" s="23" t="n">
        <f aca="false">'Qté 2027'!AC84*$C84</f>
        <v>1.852</v>
      </c>
      <c r="AD84" s="23" t="n">
        <f aca="false">'Qté 2027'!AD84*$C84</f>
        <v>1.852</v>
      </c>
      <c r="AE84" s="23" t="n">
        <f aca="false">'Qté 2027'!AE84*$C84</f>
        <v>6.2505</v>
      </c>
      <c r="AF84" s="23" t="n">
        <f aca="false">'Qté 2027'!AF84*$C84</f>
        <v>7.1765</v>
      </c>
      <c r="AG84" s="23" t="n">
        <f aca="false">'Qté 2027'!AG84*$C84</f>
        <v>2.778</v>
      </c>
      <c r="AH84" s="23" t="n">
        <f aca="false">'Qté 2027'!AH84*$C84</f>
        <v>2.778</v>
      </c>
      <c r="AI84" s="23" t="n">
        <f aca="false">'Qté 2027'!AI84*$C84</f>
        <v>5.3245</v>
      </c>
      <c r="AJ84" s="23" t="n">
        <f aca="false">'Qté 2027'!AJ84*$C84</f>
        <v>2.778</v>
      </c>
      <c r="AK84" s="23" t="n">
        <f aca="false">'Qté 2027'!AK84*$C84</f>
        <v>0</v>
      </c>
      <c r="AL84" s="23" t="n">
        <f aca="false">'Qté 2027'!AL84*$C84</f>
        <v>0</v>
      </c>
      <c r="AM84" s="23" t="n">
        <f aca="false">'Qté 2027'!AM84*$C84</f>
        <v>0</v>
      </c>
      <c r="AN84" s="23" t="n">
        <f aca="false">'Qté 2027'!AN84*$C84</f>
        <v>0</v>
      </c>
      <c r="AO84" s="23" t="n">
        <f aca="false">'Qté 2027'!AO84*$C84</f>
        <v>0</v>
      </c>
      <c r="AP84" s="23" t="n">
        <f aca="false">'Qté 2027'!AP84*$C84</f>
        <v>0</v>
      </c>
      <c r="AQ84" s="23" t="n">
        <f aca="false">'Qté 2027'!AQ84*$C84</f>
        <v>0</v>
      </c>
      <c r="AR84" s="23" t="n">
        <f aca="false">'Qté 2027'!AR84*$C84</f>
        <v>0</v>
      </c>
      <c r="AS84" s="23" t="n">
        <f aca="false">'Qté 2027'!AS84*$C84</f>
        <v>0</v>
      </c>
      <c r="AT84" s="23" t="n">
        <f aca="false">'Qté 2027'!AT84*$C84</f>
        <v>0</v>
      </c>
      <c r="AU84" s="23" t="n">
        <f aca="false">'Qté 2027'!AU84*$C84</f>
        <v>0</v>
      </c>
      <c r="AV84" s="23" t="n">
        <f aca="false">'Qté 2027'!AV84*$C84</f>
        <v>0</v>
      </c>
      <c r="AW84" s="23" t="n">
        <f aca="false">'Qté 2027'!AW84*$C84</f>
        <v>0</v>
      </c>
      <c r="AX84" s="23" t="n">
        <f aca="false">'Qté 2027'!AX84*$C84</f>
        <v>0</v>
      </c>
      <c r="AY84" s="23" t="n">
        <f aca="false">'Qté 2027'!AY84*$C84</f>
        <v>0</v>
      </c>
      <c r="AZ84" s="23" t="n">
        <f aca="false">'Qté 2027'!AZ84*$C84</f>
        <v>0</v>
      </c>
      <c r="BA84" s="23" t="n">
        <f aca="false">'Qté 2027'!BA84*$C84</f>
        <v>0</v>
      </c>
      <c r="BB84" s="23" t="n">
        <f aca="false">'Qté 2027'!BB84*$C84</f>
        <v>0</v>
      </c>
      <c r="BC84" s="23" t="n">
        <f aca="false">'Qté 2027'!BC84*$C84</f>
        <v>0</v>
      </c>
      <c r="BD84" s="15" t="n">
        <f aca="false">SUM(D84:BC84)</f>
        <v>67.8295</v>
      </c>
    </row>
    <row r="85" customFormat="false" ht="15" hidden="false" customHeight="false" outlineLevel="0" collapsed="false">
      <c r="A85" s="5" t="s">
        <v>261</v>
      </c>
      <c r="B85" s="5" t="s">
        <v>69</v>
      </c>
      <c r="C85" s="22" t="n">
        <v>62.28</v>
      </c>
      <c r="D85" s="23" t="n">
        <f aca="false">'Qté 2027'!D85*$C85</f>
        <v>0</v>
      </c>
      <c r="E85" s="23" t="n">
        <f aca="false">'Qté 2027'!E85*$C85</f>
        <v>0</v>
      </c>
      <c r="F85" s="23" t="n">
        <f aca="false">'Qté 2027'!F85*$C85</f>
        <v>0</v>
      </c>
      <c r="G85" s="23" t="n">
        <f aca="false">'Qté 2027'!G85*$C85</f>
        <v>0</v>
      </c>
      <c r="H85" s="23" t="n">
        <f aca="false">'Qté 2027'!H85*$C85</f>
        <v>0</v>
      </c>
      <c r="I85" s="23" t="n">
        <f aca="false">'Qté 2027'!I85*$C85</f>
        <v>0</v>
      </c>
      <c r="J85" s="23" t="n">
        <f aca="false">'Qté 2027'!J85*$C85</f>
        <v>0</v>
      </c>
      <c r="K85" s="23" t="n">
        <f aca="false">'Qté 2027'!K85*$C85</f>
        <v>0</v>
      </c>
      <c r="L85" s="23" t="n">
        <f aca="false">'Qté 2027'!L85*$C85</f>
        <v>0</v>
      </c>
      <c r="M85" s="23" t="n">
        <f aca="false">'Qté 2027'!M85*$C85</f>
        <v>0</v>
      </c>
      <c r="N85" s="23" t="n">
        <f aca="false">'Qté 2027'!N85*$C85</f>
        <v>0</v>
      </c>
      <c r="O85" s="23" t="n">
        <f aca="false">'Qté 2027'!O85*$C85</f>
        <v>0</v>
      </c>
      <c r="P85" s="23" t="n">
        <f aca="false">'Qté 2027'!P85*$C85</f>
        <v>0</v>
      </c>
      <c r="Q85" s="23" t="n">
        <f aca="false">'Qté 2027'!Q85*$C85</f>
        <v>0</v>
      </c>
      <c r="R85" s="23" t="n">
        <f aca="false">'Qté 2027'!R85*$C85</f>
        <v>0</v>
      </c>
      <c r="S85" s="23" t="n">
        <f aca="false">'Qté 2027'!S85*$C85</f>
        <v>0</v>
      </c>
      <c r="T85" s="23" t="n">
        <f aca="false">'Qté 2027'!T85*$C85</f>
        <v>0</v>
      </c>
      <c r="U85" s="23" t="n">
        <f aca="false">'Qté 2027'!U85*$C85</f>
        <v>0</v>
      </c>
      <c r="V85" s="23" t="n">
        <f aca="false">'Qté 2027'!V85*$C85</f>
        <v>0</v>
      </c>
      <c r="W85" s="23" t="n">
        <f aca="false">'Qté 2027'!W85*$C85</f>
        <v>0</v>
      </c>
      <c r="X85" s="23" t="n">
        <f aca="false">'Qté 2027'!X85*$C85</f>
        <v>5.6052</v>
      </c>
      <c r="Y85" s="23" t="n">
        <f aca="false">'Qté 2027'!Y85*$C85</f>
        <v>11.2104</v>
      </c>
      <c r="Z85" s="23" t="n">
        <f aca="false">'Qté 2027'!Z85*$C85</f>
        <v>5.6052</v>
      </c>
      <c r="AA85" s="23" t="n">
        <f aca="false">'Qté 2027'!AA85*$C85</f>
        <v>5.6052</v>
      </c>
      <c r="AB85" s="23" t="n">
        <f aca="false">'Qté 2027'!AB85*$C85</f>
        <v>11.2104</v>
      </c>
      <c r="AC85" s="23" t="n">
        <f aca="false">'Qté 2027'!AC85*$C85</f>
        <v>11.2104</v>
      </c>
      <c r="AD85" s="23" t="n">
        <f aca="false">'Qté 2027'!AD85*$C85</f>
        <v>11.2104</v>
      </c>
      <c r="AE85" s="23" t="n">
        <f aca="false">'Qté 2027'!AE85*$C85</f>
        <v>5.6052</v>
      </c>
      <c r="AF85" s="23" t="n">
        <f aca="false">'Qté 2027'!AF85*$C85</f>
        <v>0</v>
      </c>
      <c r="AG85" s="23" t="n">
        <f aca="false">'Qté 2027'!AG85*$C85</f>
        <v>0</v>
      </c>
      <c r="AH85" s="23" t="n">
        <f aca="false">'Qté 2027'!AH85*$C85</f>
        <v>0</v>
      </c>
      <c r="AI85" s="23" t="n">
        <f aca="false">'Qté 2027'!AI85*$C85</f>
        <v>0</v>
      </c>
      <c r="AJ85" s="23" t="n">
        <f aca="false">'Qté 2027'!AJ85*$C85</f>
        <v>0</v>
      </c>
      <c r="AK85" s="23" t="n">
        <f aca="false">'Qté 2027'!AK85*$C85</f>
        <v>0</v>
      </c>
      <c r="AL85" s="23" t="n">
        <f aca="false">'Qté 2027'!AL85*$C85</f>
        <v>0</v>
      </c>
      <c r="AM85" s="23" t="n">
        <f aca="false">'Qté 2027'!AM85*$C85</f>
        <v>0</v>
      </c>
      <c r="AN85" s="23" t="n">
        <f aca="false">'Qté 2027'!AN85*$C85</f>
        <v>0</v>
      </c>
      <c r="AO85" s="23" t="n">
        <f aca="false">'Qté 2027'!AO85*$C85</f>
        <v>0</v>
      </c>
      <c r="AP85" s="23" t="n">
        <f aca="false">'Qté 2027'!AP85*$C85</f>
        <v>0</v>
      </c>
      <c r="AQ85" s="23" t="n">
        <f aca="false">'Qté 2027'!AQ85*$C85</f>
        <v>0</v>
      </c>
      <c r="AR85" s="23" t="n">
        <f aca="false">'Qté 2027'!AR85*$C85</f>
        <v>0</v>
      </c>
      <c r="AS85" s="23" t="n">
        <f aca="false">'Qté 2027'!AS85*$C85</f>
        <v>0</v>
      </c>
      <c r="AT85" s="23" t="n">
        <f aca="false">'Qté 2027'!AT85*$C85</f>
        <v>0</v>
      </c>
      <c r="AU85" s="23" t="n">
        <f aca="false">'Qté 2027'!AU85*$C85</f>
        <v>0</v>
      </c>
      <c r="AV85" s="23" t="n">
        <f aca="false">'Qté 2027'!AV85*$C85</f>
        <v>0</v>
      </c>
      <c r="AW85" s="23" t="n">
        <f aca="false">'Qté 2027'!AW85*$C85</f>
        <v>0</v>
      </c>
      <c r="AX85" s="23" t="n">
        <f aca="false">'Qté 2027'!AX85*$C85</f>
        <v>0</v>
      </c>
      <c r="AY85" s="23" t="n">
        <f aca="false">'Qté 2027'!AY85*$C85</f>
        <v>0</v>
      </c>
      <c r="AZ85" s="23" t="n">
        <f aca="false">'Qté 2027'!AZ85*$C85</f>
        <v>0</v>
      </c>
      <c r="BA85" s="23" t="n">
        <f aca="false">'Qté 2027'!BA85*$C85</f>
        <v>0</v>
      </c>
      <c r="BB85" s="23" t="n">
        <f aca="false">'Qté 2027'!BB85*$C85</f>
        <v>0</v>
      </c>
      <c r="BC85" s="23" t="n">
        <f aca="false">'Qté 2027'!BC85*$C85</f>
        <v>0</v>
      </c>
      <c r="BD85" s="15" t="n">
        <f aca="false">SUM(D85:BC85)</f>
        <v>67.2624</v>
      </c>
    </row>
    <row r="86" customFormat="false" ht="15" hidden="false" customHeight="false" outlineLevel="0" collapsed="false">
      <c r="A86" s="5" t="s">
        <v>262</v>
      </c>
      <c r="B86" s="5" t="s">
        <v>45</v>
      </c>
      <c r="C86" s="22" t="n">
        <v>9.9</v>
      </c>
      <c r="D86" s="23" t="n">
        <f aca="false">'Qté 2027'!D86*$C86</f>
        <v>0</v>
      </c>
      <c r="E86" s="23" t="n">
        <f aca="false">'Qté 2027'!E86*$C86</f>
        <v>0</v>
      </c>
      <c r="F86" s="23" t="n">
        <f aca="false">'Qté 2027'!F86*$C86</f>
        <v>0</v>
      </c>
      <c r="G86" s="23" t="n">
        <f aca="false">'Qté 2027'!G86*$C86</f>
        <v>0</v>
      </c>
      <c r="H86" s="23" t="n">
        <f aca="false">'Qté 2027'!H86*$C86</f>
        <v>0</v>
      </c>
      <c r="I86" s="23" t="n">
        <f aca="false">'Qté 2027'!I86*$C86</f>
        <v>0</v>
      </c>
      <c r="J86" s="23" t="n">
        <f aca="false">'Qté 2027'!J86*$C86</f>
        <v>0</v>
      </c>
      <c r="K86" s="23" t="n">
        <f aca="false">'Qté 2027'!K86*$C86</f>
        <v>0</v>
      </c>
      <c r="L86" s="23" t="n">
        <f aca="false">'Qté 2027'!L86*$C86</f>
        <v>0</v>
      </c>
      <c r="M86" s="23" t="n">
        <f aca="false">'Qté 2027'!M86*$C86</f>
        <v>0</v>
      </c>
      <c r="N86" s="23" t="n">
        <f aca="false">'Qté 2027'!N86*$C86</f>
        <v>0.297</v>
      </c>
      <c r="O86" s="23" t="n">
        <f aca="false">'Qté 2027'!O86*$C86</f>
        <v>0.693</v>
      </c>
      <c r="P86" s="23" t="n">
        <f aca="false">'Qté 2027'!P86*$C86</f>
        <v>0.297</v>
      </c>
      <c r="Q86" s="23" t="n">
        <f aca="false">'Qté 2027'!Q86*$C86</f>
        <v>0</v>
      </c>
      <c r="R86" s="23" t="n">
        <f aca="false">'Qté 2027'!R86*$C86</f>
        <v>0.891</v>
      </c>
      <c r="S86" s="23" t="n">
        <f aca="false">'Qté 2027'!S86*$C86</f>
        <v>1.782</v>
      </c>
      <c r="T86" s="23" t="n">
        <f aca="false">'Qté 2027'!T86*$C86</f>
        <v>1.089</v>
      </c>
      <c r="U86" s="23" t="n">
        <f aca="false">'Qté 2027'!U86*$C86</f>
        <v>0.495</v>
      </c>
      <c r="V86" s="23" t="n">
        <f aca="false">'Qté 2027'!V86*$C86</f>
        <v>3.069</v>
      </c>
      <c r="W86" s="23" t="n">
        <f aca="false">'Qté 2027'!W86*$C86</f>
        <v>5.544</v>
      </c>
      <c r="X86" s="23" t="n">
        <f aca="false">'Qté 2027'!X86*$C86</f>
        <v>5.346</v>
      </c>
      <c r="Y86" s="23" t="n">
        <f aca="false">'Qté 2027'!Y86*$C86</f>
        <v>7.524</v>
      </c>
      <c r="Z86" s="23" t="n">
        <f aca="false">'Qté 2027'!Z86*$C86</f>
        <v>7.722</v>
      </c>
      <c r="AA86" s="23" t="n">
        <f aca="false">'Qté 2027'!AA86*$C86</f>
        <v>4.257</v>
      </c>
      <c r="AB86" s="23" t="n">
        <f aca="false">'Qté 2027'!AB86*$C86</f>
        <v>2.673</v>
      </c>
      <c r="AC86" s="23" t="n">
        <f aca="false">'Qté 2027'!AC86*$C86</f>
        <v>1.683</v>
      </c>
      <c r="AD86" s="23" t="n">
        <f aca="false">'Qté 2027'!AD86*$C86</f>
        <v>1.782</v>
      </c>
      <c r="AE86" s="23" t="n">
        <f aca="false">'Qté 2027'!AE86*$C86</f>
        <v>2.475</v>
      </c>
      <c r="AF86" s="23" t="n">
        <f aca="false">'Qté 2027'!AF86*$C86</f>
        <v>1.98</v>
      </c>
      <c r="AG86" s="23" t="n">
        <f aca="false">'Qté 2027'!AG86*$C86</f>
        <v>2.277</v>
      </c>
      <c r="AH86" s="23" t="n">
        <f aca="false">'Qté 2027'!AH86*$C86</f>
        <v>2.475</v>
      </c>
      <c r="AI86" s="23" t="n">
        <f aca="false">'Qté 2027'!AI86*$C86</f>
        <v>2.178</v>
      </c>
      <c r="AJ86" s="23" t="n">
        <f aca="false">'Qté 2027'!AJ86*$C86</f>
        <v>1.98</v>
      </c>
      <c r="AK86" s="23" t="n">
        <f aca="false">'Qté 2027'!AK86*$C86</f>
        <v>1.188</v>
      </c>
      <c r="AL86" s="23" t="n">
        <f aca="false">'Qté 2027'!AL86*$C86</f>
        <v>0.99</v>
      </c>
      <c r="AM86" s="23" t="n">
        <f aca="false">'Qté 2027'!AM86*$C86</f>
        <v>0.99</v>
      </c>
      <c r="AN86" s="23" t="n">
        <f aca="false">'Qté 2027'!AN86*$C86</f>
        <v>0.297</v>
      </c>
      <c r="AO86" s="23" t="n">
        <f aca="false">'Qté 2027'!AO86*$C86</f>
        <v>0</v>
      </c>
      <c r="AP86" s="23" t="n">
        <f aca="false">'Qté 2027'!AP86*$C86</f>
        <v>0</v>
      </c>
      <c r="AQ86" s="23" t="n">
        <f aca="false">'Qté 2027'!AQ86*$C86</f>
        <v>0</v>
      </c>
      <c r="AR86" s="23" t="n">
        <f aca="false">'Qté 2027'!AR86*$C86</f>
        <v>0.297</v>
      </c>
      <c r="AS86" s="23" t="n">
        <f aca="false">'Qté 2027'!AS86*$C86</f>
        <v>0.693</v>
      </c>
      <c r="AT86" s="23" t="n">
        <f aca="false">'Qté 2027'!AT86*$C86</f>
        <v>0.297</v>
      </c>
      <c r="AU86" s="23" t="n">
        <f aca="false">'Qté 2027'!AU86*$C86</f>
        <v>0</v>
      </c>
      <c r="AV86" s="23" t="n">
        <f aca="false">'Qté 2027'!AV86*$C86</f>
        <v>0</v>
      </c>
      <c r="AW86" s="23" t="n">
        <f aca="false">'Qté 2027'!AW86*$C86</f>
        <v>0</v>
      </c>
      <c r="AX86" s="23" t="n">
        <f aca="false">'Qté 2027'!AX86*$C86</f>
        <v>0</v>
      </c>
      <c r="AY86" s="23" t="n">
        <f aca="false">'Qté 2027'!AY86*$C86</f>
        <v>0</v>
      </c>
      <c r="AZ86" s="23" t="n">
        <f aca="false">'Qté 2027'!AZ86*$C86</f>
        <v>0</v>
      </c>
      <c r="BA86" s="23" t="n">
        <f aca="false">'Qté 2027'!BA86*$C86</f>
        <v>0</v>
      </c>
      <c r="BB86" s="23" t="n">
        <f aca="false">'Qté 2027'!BB86*$C86</f>
        <v>0</v>
      </c>
      <c r="BC86" s="23" t="n">
        <f aca="false">'Qté 2027'!BC86*$C86</f>
        <v>0</v>
      </c>
      <c r="BD86" s="15" t="n">
        <f aca="false">SUM(D86:BC86)</f>
        <v>63.261</v>
      </c>
    </row>
    <row r="87" customFormat="false" ht="15" hidden="false" customHeight="false" outlineLevel="0" collapsed="false">
      <c r="A87" s="5" t="s">
        <v>263</v>
      </c>
      <c r="B87" s="5" t="s">
        <v>69</v>
      </c>
      <c r="C87" s="22" t="n">
        <v>45</v>
      </c>
      <c r="D87" s="23" t="n">
        <f aca="false">'Qté 2027'!D87*$C87</f>
        <v>0</v>
      </c>
      <c r="E87" s="23" t="n">
        <f aca="false">'Qté 2027'!E87*$C87</f>
        <v>0</v>
      </c>
      <c r="F87" s="23" t="n">
        <f aca="false">'Qté 2027'!F87*$C87</f>
        <v>0</v>
      </c>
      <c r="G87" s="23" t="n">
        <f aca="false">'Qté 2027'!G87*$C87</f>
        <v>0</v>
      </c>
      <c r="H87" s="23" t="n">
        <f aca="false">'Qté 2027'!H87*$C87</f>
        <v>0</v>
      </c>
      <c r="I87" s="23" t="n">
        <f aca="false">'Qté 2027'!I87*$C87</f>
        <v>0</v>
      </c>
      <c r="J87" s="23" t="n">
        <f aca="false">'Qté 2027'!J87*$C87</f>
        <v>0</v>
      </c>
      <c r="K87" s="23" t="n">
        <f aca="false">'Qté 2027'!K87*$C87</f>
        <v>0</v>
      </c>
      <c r="L87" s="23" t="n">
        <f aca="false">'Qté 2027'!L87*$C87</f>
        <v>0</v>
      </c>
      <c r="M87" s="23" t="n">
        <f aca="false">'Qté 2027'!M87*$C87</f>
        <v>0</v>
      </c>
      <c r="N87" s="23" t="n">
        <f aca="false">'Qté 2027'!N87*$C87</f>
        <v>0</v>
      </c>
      <c r="O87" s="23" t="n">
        <f aca="false">'Qté 2027'!O87*$C87</f>
        <v>0</v>
      </c>
      <c r="P87" s="23" t="n">
        <f aca="false">'Qté 2027'!P87*$C87</f>
        <v>0</v>
      </c>
      <c r="Q87" s="23" t="n">
        <f aca="false">'Qté 2027'!Q87*$C87</f>
        <v>3.6</v>
      </c>
      <c r="R87" s="23" t="n">
        <f aca="false">'Qté 2027'!R87*$C87</f>
        <v>7.2</v>
      </c>
      <c r="S87" s="23" t="n">
        <f aca="false">'Qté 2027'!S87*$C87</f>
        <v>3.6</v>
      </c>
      <c r="T87" s="23" t="n">
        <f aca="false">'Qté 2027'!T87*$C87</f>
        <v>0</v>
      </c>
      <c r="U87" s="23" t="n">
        <f aca="false">'Qté 2027'!U87*$C87</f>
        <v>0</v>
      </c>
      <c r="V87" s="23" t="n">
        <f aca="false">'Qté 2027'!V87*$C87</f>
        <v>0</v>
      </c>
      <c r="W87" s="23" t="n">
        <f aca="false">'Qté 2027'!W87*$C87</f>
        <v>0</v>
      </c>
      <c r="X87" s="23" t="n">
        <f aca="false">'Qté 2027'!X87*$C87</f>
        <v>0</v>
      </c>
      <c r="Y87" s="23" t="n">
        <f aca="false">'Qté 2027'!Y87*$C87</f>
        <v>0</v>
      </c>
      <c r="Z87" s="23" t="n">
        <f aca="false">'Qté 2027'!Z87*$C87</f>
        <v>0</v>
      </c>
      <c r="AA87" s="23" t="n">
        <f aca="false">'Qté 2027'!AA87*$C87</f>
        <v>0</v>
      </c>
      <c r="AB87" s="23" t="n">
        <f aca="false">'Qté 2027'!AB87*$C87</f>
        <v>0.9</v>
      </c>
      <c r="AC87" s="23" t="n">
        <f aca="false">'Qté 2027'!AC87*$C87</f>
        <v>3.15</v>
      </c>
      <c r="AD87" s="23" t="n">
        <f aca="false">'Qté 2027'!AD87*$C87</f>
        <v>4.05</v>
      </c>
      <c r="AE87" s="23" t="n">
        <f aca="false">'Qté 2027'!AE87*$C87</f>
        <v>3.15</v>
      </c>
      <c r="AF87" s="23" t="n">
        <f aca="false">'Qté 2027'!AF87*$C87</f>
        <v>2.7</v>
      </c>
      <c r="AG87" s="23" t="n">
        <f aca="false">'Qté 2027'!AG87*$C87</f>
        <v>5.85</v>
      </c>
      <c r="AH87" s="23" t="n">
        <f aca="false">'Qté 2027'!AH87*$C87</f>
        <v>7.65</v>
      </c>
      <c r="AI87" s="23" t="n">
        <f aca="false">'Qté 2027'!AI87*$C87</f>
        <v>3.15</v>
      </c>
      <c r="AJ87" s="23" t="n">
        <f aca="false">'Qté 2027'!AJ87*$C87</f>
        <v>0</v>
      </c>
      <c r="AK87" s="23" t="n">
        <f aca="false">'Qté 2027'!AK87*$C87</f>
        <v>0</v>
      </c>
      <c r="AL87" s="23" t="n">
        <f aca="false">'Qté 2027'!AL87*$C87</f>
        <v>4.5</v>
      </c>
      <c r="AM87" s="23" t="n">
        <f aca="false">'Qté 2027'!AM87*$C87</f>
        <v>9</v>
      </c>
      <c r="AN87" s="23" t="n">
        <f aca="false">'Qté 2027'!AN87*$C87</f>
        <v>4.5</v>
      </c>
      <c r="AO87" s="23" t="n">
        <f aca="false">'Qté 2027'!AO87*$C87</f>
        <v>0</v>
      </c>
      <c r="AP87" s="23" t="n">
        <f aca="false">'Qté 2027'!AP87*$C87</f>
        <v>0</v>
      </c>
      <c r="AQ87" s="23" t="n">
        <f aca="false">'Qté 2027'!AQ87*$C87</f>
        <v>0</v>
      </c>
      <c r="AR87" s="23" t="n">
        <f aca="false">'Qté 2027'!AR87*$C87</f>
        <v>0</v>
      </c>
      <c r="AS87" s="23" t="n">
        <f aca="false">'Qté 2027'!AS87*$C87</f>
        <v>0</v>
      </c>
      <c r="AT87" s="23" t="n">
        <f aca="false">'Qté 2027'!AT87*$C87</f>
        <v>0</v>
      </c>
      <c r="AU87" s="23" t="n">
        <f aca="false">'Qté 2027'!AU87*$C87</f>
        <v>0</v>
      </c>
      <c r="AV87" s="23" t="n">
        <f aca="false">'Qté 2027'!AV87*$C87</f>
        <v>0</v>
      </c>
      <c r="AW87" s="23" t="n">
        <f aca="false">'Qté 2027'!AW87*$C87</f>
        <v>0</v>
      </c>
      <c r="AX87" s="23" t="n">
        <f aca="false">'Qté 2027'!AX87*$C87</f>
        <v>0</v>
      </c>
      <c r="AY87" s="23" t="n">
        <f aca="false">'Qté 2027'!AY87*$C87</f>
        <v>0</v>
      </c>
      <c r="AZ87" s="23" t="n">
        <f aca="false">'Qté 2027'!AZ87*$C87</f>
        <v>0</v>
      </c>
      <c r="BA87" s="23" t="n">
        <f aca="false">'Qté 2027'!BA87*$C87</f>
        <v>0</v>
      </c>
      <c r="BB87" s="23" t="n">
        <f aca="false">'Qté 2027'!BB87*$C87</f>
        <v>0</v>
      </c>
      <c r="BC87" s="23" t="n">
        <f aca="false">'Qté 2027'!BC87*$C87</f>
        <v>0</v>
      </c>
      <c r="BD87" s="15" t="n">
        <f aca="false">SUM(D87:BC87)</f>
        <v>63</v>
      </c>
    </row>
    <row r="88" customFormat="false" ht="15" hidden="false" customHeight="false" outlineLevel="0" collapsed="false">
      <c r="A88" s="5" t="s">
        <v>264</v>
      </c>
      <c r="B88" s="5" t="s">
        <v>45</v>
      </c>
      <c r="C88" s="22" t="n">
        <v>27.72</v>
      </c>
      <c r="D88" s="23" t="n">
        <f aca="false">'Qté 2027'!D88*$C88</f>
        <v>0</v>
      </c>
      <c r="E88" s="23" t="n">
        <f aca="false">'Qté 2027'!E88*$C88</f>
        <v>0</v>
      </c>
      <c r="F88" s="23" t="n">
        <f aca="false">'Qté 2027'!F88*$C88</f>
        <v>0</v>
      </c>
      <c r="G88" s="23" t="n">
        <f aca="false">'Qté 2027'!G88*$C88</f>
        <v>0</v>
      </c>
      <c r="H88" s="23" t="n">
        <f aca="false">'Qté 2027'!H88*$C88</f>
        <v>0</v>
      </c>
      <c r="I88" s="23" t="n">
        <f aca="false">'Qté 2027'!I88*$C88</f>
        <v>0</v>
      </c>
      <c r="J88" s="23" t="n">
        <f aca="false">'Qté 2027'!J88*$C88</f>
        <v>0</v>
      </c>
      <c r="K88" s="23" t="n">
        <f aca="false">'Qté 2027'!K88*$C88</f>
        <v>0</v>
      </c>
      <c r="L88" s="23" t="n">
        <f aca="false">'Qté 2027'!L88*$C88</f>
        <v>0</v>
      </c>
      <c r="M88" s="23" t="n">
        <f aca="false">'Qté 2027'!M88*$C88</f>
        <v>0</v>
      </c>
      <c r="N88" s="23" t="n">
        <f aca="false">'Qté 2027'!N88*$C88</f>
        <v>0</v>
      </c>
      <c r="O88" s="23" t="n">
        <f aca="false">'Qté 2027'!O88*$C88</f>
        <v>0</v>
      </c>
      <c r="P88" s="23" t="n">
        <f aca="false">'Qté 2027'!P88*$C88</f>
        <v>0</v>
      </c>
      <c r="Q88" s="23" t="n">
        <f aca="false">'Qté 2027'!Q88*$C88</f>
        <v>0</v>
      </c>
      <c r="R88" s="23" t="n">
        <f aca="false">'Qté 2027'!R88*$C88</f>
        <v>0</v>
      </c>
      <c r="S88" s="23" t="n">
        <f aca="false">'Qté 2027'!S88*$C88</f>
        <v>0</v>
      </c>
      <c r="T88" s="23" t="n">
        <f aca="false">'Qté 2027'!T88*$C88</f>
        <v>0</v>
      </c>
      <c r="U88" s="23" t="n">
        <f aca="false">'Qté 2027'!U88*$C88</f>
        <v>0</v>
      </c>
      <c r="V88" s="23" t="n">
        <f aca="false">'Qté 2027'!V88*$C88</f>
        <v>0</v>
      </c>
      <c r="W88" s="23" t="n">
        <f aca="false">'Qté 2027'!W88*$C88</f>
        <v>0</v>
      </c>
      <c r="X88" s="23" t="n">
        <f aca="false">'Qté 2027'!X88*$C88</f>
        <v>2.2176</v>
      </c>
      <c r="Y88" s="23" t="n">
        <f aca="false">'Qté 2027'!Y88*$C88</f>
        <v>6.93</v>
      </c>
      <c r="Z88" s="23" t="n">
        <f aca="false">'Qté 2027'!Z88*$C88</f>
        <v>7.2072</v>
      </c>
      <c r="AA88" s="23" t="n">
        <f aca="false">'Qté 2027'!AA88*$C88</f>
        <v>4.7124</v>
      </c>
      <c r="AB88" s="23" t="n">
        <f aca="false">'Qté 2027'!AB88*$C88</f>
        <v>4.4352</v>
      </c>
      <c r="AC88" s="23" t="n">
        <f aca="false">'Qté 2027'!AC88*$C88</f>
        <v>2.2176</v>
      </c>
      <c r="AD88" s="23" t="n">
        <f aca="false">'Qté 2027'!AD88*$C88</f>
        <v>4.7124</v>
      </c>
      <c r="AE88" s="23" t="n">
        <f aca="false">'Qté 2027'!AE88*$C88</f>
        <v>9.4248</v>
      </c>
      <c r="AF88" s="23" t="n">
        <f aca="false">'Qté 2027'!AF88*$C88</f>
        <v>4.7124</v>
      </c>
      <c r="AG88" s="23" t="n">
        <f aca="false">'Qté 2027'!AG88*$C88</f>
        <v>0</v>
      </c>
      <c r="AH88" s="23" t="n">
        <f aca="false">'Qté 2027'!AH88*$C88</f>
        <v>0</v>
      </c>
      <c r="AI88" s="23" t="n">
        <f aca="false">'Qté 2027'!AI88*$C88</f>
        <v>3.3264</v>
      </c>
      <c r="AJ88" s="23" t="n">
        <f aca="false">'Qté 2027'!AJ88*$C88</f>
        <v>6.3756</v>
      </c>
      <c r="AK88" s="23" t="n">
        <f aca="false">'Qté 2027'!AK88*$C88</f>
        <v>3.3264</v>
      </c>
      <c r="AL88" s="23" t="n">
        <f aca="false">'Qté 2027'!AL88*$C88</f>
        <v>0</v>
      </c>
      <c r="AM88" s="23" t="n">
        <f aca="false">'Qté 2027'!AM88*$C88</f>
        <v>0</v>
      </c>
      <c r="AN88" s="23" t="n">
        <f aca="false">'Qté 2027'!AN88*$C88</f>
        <v>0</v>
      </c>
      <c r="AO88" s="23" t="n">
        <f aca="false">'Qté 2027'!AO88*$C88</f>
        <v>0</v>
      </c>
      <c r="AP88" s="23" t="n">
        <f aca="false">'Qté 2027'!AP88*$C88</f>
        <v>0</v>
      </c>
      <c r="AQ88" s="23" t="n">
        <f aca="false">'Qté 2027'!AQ88*$C88</f>
        <v>0</v>
      </c>
      <c r="AR88" s="23" t="n">
        <f aca="false">'Qté 2027'!AR88*$C88</f>
        <v>0</v>
      </c>
      <c r="AS88" s="23" t="n">
        <f aca="false">'Qté 2027'!AS88*$C88</f>
        <v>0</v>
      </c>
      <c r="AT88" s="23" t="n">
        <f aca="false">'Qté 2027'!AT88*$C88</f>
        <v>0</v>
      </c>
      <c r="AU88" s="23" t="n">
        <f aca="false">'Qté 2027'!AU88*$C88</f>
        <v>0</v>
      </c>
      <c r="AV88" s="23" t="n">
        <f aca="false">'Qté 2027'!AV88*$C88</f>
        <v>0</v>
      </c>
      <c r="AW88" s="23" t="n">
        <f aca="false">'Qté 2027'!AW88*$C88</f>
        <v>0</v>
      </c>
      <c r="AX88" s="23" t="n">
        <f aca="false">'Qté 2027'!AX88*$C88</f>
        <v>0</v>
      </c>
      <c r="AY88" s="23" t="n">
        <f aca="false">'Qté 2027'!AY88*$C88</f>
        <v>0</v>
      </c>
      <c r="AZ88" s="23" t="n">
        <f aca="false">'Qté 2027'!AZ88*$C88</f>
        <v>0</v>
      </c>
      <c r="BA88" s="23" t="n">
        <f aca="false">'Qté 2027'!BA88*$C88</f>
        <v>0</v>
      </c>
      <c r="BB88" s="23" t="n">
        <f aca="false">'Qté 2027'!BB88*$C88</f>
        <v>0</v>
      </c>
      <c r="BC88" s="23" t="n">
        <f aca="false">'Qté 2027'!BC88*$C88</f>
        <v>0</v>
      </c>
      <c r="BD88" s="15" t="n">
        <f aca="false">SUM(D88:BC88)</f>
        <v>59.598</v>
      </c>
    </row>
    <row r="89" customFormat="false" ht="15" hidden="false" customHeight="false" outlineLevel="0" collapsed="false">
      <c r="A89" s="5" t="s">
        <v>265</v>
      </c>
      <c r="B89" s="5" t="s">
        <v>62</v>
      </c>
      <c r="C89" s="22" t="n">
        <v>32.71</v>
      </c>
      <c r="D89" s="23" t="n">
        <f aca="false">'Qté 2027'!D89*$C89</f>
        <v>0</v>
      </c>
      <c r="E89" s="23" t="n">
        <f aca="false">'Qté 2027'!E89*$C89</f>
        <v>0</v>
      </c>
      <c r="F89" s="23" t="n">
        <f aca="false">'Qté 2027'!F89*$C89</f>
        <v>0</v>
      </c>
      <c r="G89" s="23" t="n">
        <f aca="false">'Qté 2027'!G89*$C89</f>
        <v>0</v>
      </c>
      <c r="H89" s="23" t="n">
        <f aca="false">'Qté 2027'!H89*$C89</f>
        <v>0</v>
      </c>
      <c r="I89" s="23" t="n">
        <f aca="false">'Qté 2027'!I89*$C89</f>
        <v>0</v>
      </c>
      <c r="J89" s="23" t="n">
        <f aca="false">'Qté 2027'!J89*$C89</f>
        <v>0</v>
      </c>
      <c r="K89" s="23" t="n">
        <f aca="false">'Qté 2027'!K89*$C89</f>
        <v>0</v>
      </c>
      <c r="L89" s="23" t="n">
        <f aca="false">'Qté 2027'!L89*$C89</f>
        <v>0</v>
      </c>
      <c r="M89" s="23" t="n">
        <f aca="false">'Qté 2027'!M89*$C89</f>
        <v>0</v>
      </c>
      <c r="N89" s="23" t="n">
        <f aca="false">'Qté 2027'!N89*$C89</f>
        <v>0</v>
      </c>
      <c r="O89" s="23" t="n">
        <f aca="false">'Qté 2027'!O89*$C89</f>
        <v>0</v>
      </c>
      <c r="P89" s="23" t="n">
        <f aca="false">'Qté 2027'!P89*$C89</f>
        <v>0</v>
      </c>
      <c r="Q89" s="23" t="n">
        <f aca="false">'Qté 2027'!Q89*$C89</f>
        <v>0</v>
      </c>
      <c r="R89" s="23" t="n">
        <f aca="false">'Qté 2027'!R89*$C89</f>
        <v>1.9626</v>
      </c>
      <c r="S89" s="23" t="n">
        <f aca="false">'Qté 2027'!S89*$C89</f>
        <v>6.542</v>
      </c>
      <c r="T89" s="23" t="n">
        <f aca="false">'Qté 2027'!T89*$C89</f>
        <v>7.8504</v>
      </c>
      <c r="U89" s="23" t="n">
        <f aca="false">'Qté 2027'!U89*$C89</f>
        <v>2.9439</v>
      </c>
      <c r="V89" s="23" t="n">
        <f aca="false">'Qté 2027'!V89*$C89</f>
        <v>2.9439</v>
      </c>
      <c r="W89" s="23" t="n">
        <f aca="false">'Qté 2027'!W89*$C89</f>
        <v>8.8317</v>
      </c>
      <c r="X89" s="23" t="n">
        <f aca="false">'Qté 2027'!X89*$C89</f>
        <v>8.8317</v>
      </c>
      <c r="Y89" s="23" t="n">
        <f aca="false">'Qté 2027'!Y89*$C89</f>
        <v>2.9439</v>
      </c>
      <c r="Z89" s="23" t="n">
        <f aca="false">'Qté 2027'!Z89*$C89</f>
        <v>2.9439</v>
      </c>
      <c r="AA89" s="23" t="n">
        <f aca="false">'Qté 2027'!AA89*$C89</f>
        <v>5.8878</v>
      </c>
      <c r="AB89" s="23" t="n">
        <f aca="false">'Qté 2027'!AB89*$C89</f>
        <v>2.9439</v>
      </c>
      <c r="AC89" s="23" t="n">
        <f aca="false">'Qté 2027'!AC89*$C89</f>
        <v>0</v>
      </c>
      <c r="AD89" s="23" t="n">
        <f aca="false">'Qté 2027'!AD89*$C89</f>
        <v>0</v>
      </c>
      <c r="AE89" s="23" t="n">
        <f aca="false">'Qté 2027'!AE89*$C89</f>
        <v>0</v>
      </c>
      <c r="AF89" s="23" t="n">
        <f aca="false">'Qté 2027'!AF89*$C89</f>
        <v>0</v>
      </c>
      <c r="AG89" s="23" t="n">
        <f aca="false">'Qté 2027'!AG89*$C89</f>
        <v>0</v>
      </c>
      <c r="AH89" s="23" t="n">
        <f aca="false">'Qté 2027'!AH89*$C89</f>
        <v>0</v>
      </c>
      <c r="AI89" s="23" t="n">
        <f aca="false">'Qté 2027'!AI89*$C89</f>
        <v>0</v>
      </c>
      <c r="AJ89" s="23" t="n">
        <f aca="false">'Qté 2027'!AJ89*$C89</f>
        <v>0</v>
      </c>
      <c r="AK89" s="23" t="n">
        <f aca="false">'Qté 2027'!AK89*$C89</f>
        <v>0</v>
      </c>
      <c r="AL89" s="23" t="n">
        <f aca="false">'Qté 2027'!AL89*$C89</f>
        <v>0</v>
      </c>
      <c r="AM89" s="23" t="n">
        <f aca="false">'Qté 2027'!AM89*$C89</f>
        <v>0</v>
      </c>
      <c r="AN89" s="23" t="n">
        <f aca="false">'Qté 2027'!AN89*$C89</f>
        <v>0</v>
      </c>
      <c r="AO89" s="23" t="n">
        <f aca="false">'Qté 2027'!AO89*$C89</f>
        <v>0</v>
      </c>
      <c r="AP89" s="23" t="n">
        <f aca="false">'Qté 2027'!AP89*$C89</f>
        <v>0</v>
      </c>
      <c r="AQ89" s="23" t="n">
        <f aca="false">'Qté 2027'!AQ89*$C89</f>
        <v>0</v>
      </c>
      <c r="AR89" s="23" t="n">
        <f aca="false">'Qté 2027'!AR89*$C89</f>
        <v>0</v>
      </c>
      <c r="AS89" s="23" t="n">
        <f aca="false">'Qté 2027'!AS89*$C89</f>
        <v>0</v>
      </c>
      <c r="AT89" s="23" t="n">
        <f aca="false">'Qté 2027'!AT89*$C89</f>
        <v>0</v>
      </c>
      <c r="AU89" s="23" t="n">
        <f aca="false">'Qté 2027'!AU89*$C89</f>
        <v>0</v>
      </c>
      <c r="AV89" s="23" t="n">
        <f aca="false">'Qté 2027'!AV89*$C89</f>
        <v>0</v>
      </c>
      <c r="AW89" s="23" t="n">
        <f aca="false">'Qté 2027'!AW89*$C89</f>
        <v>0</v>
      </c>
      <c r="AX89" s="23" t="n">
        <f aca="false">'Qté 2027'!AX89*$C89</f>
        <v>0</v>
      </c>
      <c r="AY89" s="23" t="n">
        <f aca="false">'Qté 2027'!AY89*$C89</f>
        <v>0</v>
      </c>
      <c r="AZ89" s="23" t="n">
        <f aca="false">'Qté 2027'!AZ89*$C89</f>
        <v>0</v>
      </c>
      <c r="BA89" s="23" t="n">
        <f aca="false">'Qté 2027'!BA89*$C89</f>
        <v>0</v>
      </c>
      <c r="BB89" s="23" t="n">
        <f aca="false">'Qté 2027'!BB89*$C89</f>
        <v>0</v>
      </c>
      <c r="BC89" s="23" t="n">
        <f aca="false">'Qté 2027'!BC89*$C89</f>
        <v>0</v>
      </c>
      <c r="BD89" s="15" t="n">
        <f aca="false">SUM(D89:BC89)</f>
        <v>54.6257</v>
      </c>
    </row>
    <row r="90" customFormat="false" ht="15" hidden="false" customHeight="false" outlineLevel="0" collapsed="false">
      <c r="A90" s="5" t="s">
        <v>266</v>
      </c>
      <c r="B90" s="5" t="s">
        <v>69</v>
      </c>
      <c r="C90" s="22" t="n">
        <v>22.8</v>
      </c>
      <c r="D90" s="23" t="n">
        <f aca="false">'Qté 2027'!D90*$C90</f>
        <v>0</v>
      </c>
      <c r="E90" s="23" t="n">
        <f aca="false">'Qté 2027'!E90*$C90</f>
        <v>0</v>
      </c>
      <c r="F90" s="23" t="n">
        <f aca="false">'Qté 2027'!F90*$C90</f>
        <v>0</v>
      </c>
      <c r="G90" s="23" t="n">
        <f aca="false">'Qté 2027'!G90*$C90</f>
        <v>0</v>
      </c>
      <c r="H90" s="23" t="n">
        <f aca="false">'Qté 2027'!H90*$C90</f>
        <v>0</v>
      </c>
      <c r="I90" s="23" t="n">
        <f aca="false">'Qté 2027'!I90*$C90</f>
        <v>0</v>
      </c>
      <c r="J90" s="23" t="n">
        <f aca="false">'Qté 2027'!J90*$C90</f>
        <v>0</v>
      </c>
      <c r="K90" s="23" t="n">
        <f aca="false">'Qté 2027'!K90*$C90</f>
        <v>0</v>
      </c>
      <c r="L90" s="23" t="n">
        <f aca="false">'Qté 2027'!L90*$C90</f>
        <v>0</v>
      </c>
      <c r="M90" s="23" t="n">
        <f aca="false">'Qté 2027'!M90*$C90</f>
        <v>0</v>
      </c>
      <c r="N90" s="23" t="n">
        <f aca="false">'Qté 2027'!N90*$C90</f>
        <v>0</v>
      </c>
      <c r="O90" s="23" t="n">
        <f aca="false">'Qté 2027'!O90*$C90</f>
        <v>0</v>
      </c>
      <c r="P90" s="23" t="n">
        <f aca="false">'Qté 2027'!P90*$C90</f>
        <v>0</v>
      </c>
      <c r="Q90" s="23" t="n">
        <f aca="false">'Qté 2027'!Q90*$C90</f>
        <v>0</v>
      </c>
      <c r="R90" s="23" t="n">
        <f aca="false">'Qté 2027'!R90*$C90</f>
        <v>0</v>
      </c>
      <c r="S90" s="23" t="n">
        <f aca="false">'Qté 2027'!S90*$C90</f>
        <v>0</v>
      </c>
      <c r="T90" s="23" t="n">
        <f aca="false">'Qté 2027'!T90*$C90</f>
        <v>0</v>
      </c>
      <c r="U90" s="23" t="n">
        <f aca="false">'Qté 2027'!U90*$C90</f>
        <v>0</v>
      </c>
      <c r="V90" s="23" t="n">
        <f aca="false">'Qté 2027'!V90*$C90</f>
        <v>1.368</v>
      </c>
      <c r="W90" s="23" t="n">
        <f aca="false">'Qté 2027'!W90*$C90</f>
        <v>2.508</v>
      </c>
      <c r="X90" s="23" t="n">
        <f aca="false">'Qté 2027'!X90*$C90</f>
        <v>1.368</v>
      </c>
      <c r="Y90" s="23" t="n">
        <f aca="false">'Qté 2027'!Y90*$C90</f>
        <v>5.244</v>
      </c>
      <c r="Z90" s="23" t="n">
        <f aca="false">'Qté 2027'!Z90*$C90</f>
        <v>12.312</v>
      </c>
      <c r="AA90" s="23" t="n">
        <f aca="false">'Qté 2027'!AA90*$C90</f>
        <v>11.4</v>
      </c>
      <c r="AB90" s="23" t="n">
        <f aca="false">'Qté 2027'!AB90*$C90</f>
        <v>6.156</v>
      </c>
      <c r="AC90" s="23" t="n">
        <f aca="false">'Qté 2027'!AC90*$C90</f>
        <v>2.052</v>
      </c>
      <c r="AD90" s="23" t="n">
        <f aca="false">'Qté 2027'!AD90*$C90</f>
        <v>0</v>
      </c>
      <c r="AE90" s="23" t="n">
        <f aca="false">'Qté 2027'!AE90*$C90</f>
        <v>0</v>
      </c>
      <c r="AF90" s="23" t="n">
        <f aca="false">'Qté 2027'!AF90*$C90</f>
        <v>1.824</v>
      </c>
      <c r="AG90" s="23" t="n">
        <f aca="false">'Qté 2027'!AG90*$C90</f>
        <v>3.876</v>
      </c>
      <c r="AH90" s="23" t="n">
        <f aca="false">'Qté 2027'!AH90*$C90</f>
        <v>1.824</v>
      </c>
      <c r="AI90" s="23" t="n">
        <f aca="false">'Qté 2027'!AI90*$C90</f>
        <v>0</v>
      </c>
      <c r="AJ90" s="23" t="n">
        <f aca="false">'Qté 2027'!AJ90*$C90</f>
        <v>0</v>
      </c>
      <c r="AK90" s="23" t="n">
        <f aca="false">'Qté 2027'!AK90*$C90</f>
        <v>0</v>
      </c>
      <c r="AL90" s="23" t="n">
        <f aca="false">'Qté 2027'!AL90*$C90</f>
        <v>0</v>
      </c>
      <c r="AM90" s="23" t="n">
        <f aca="false">'Qté 2027'!AM90*$C90</f>
        <v>1.14</v>
      </c>
      <c r="AN90" s="23" t="n">
        <f aca="false">'Qté 2027'!AN90*$C90</f>
        <v>2.28</v>
      </c>
      <c r="AO90" s="23" t="n">
        <f aca="false">'Qté 2027'!AO90*$C90</f>
        <v>1.14</v>
      </c>
      <c r="AP90" s="23" t="n">
        <f aca="false">'Qté 2027'!AP90*$C90</f>
        <v>0</v>
      </c>
      <c r="AQ90" s="23" t="n">
        <f aca="false">'Qté 2027'!AQ90*$C90</f>
        <v>0</v>
      </c>
      <c r="AR90" s="23" t="n">
        <f aca="false">'Qté 2027'!AR90*$C90</f>
        <v>0</v>
      </c>
      <c r="AS90" s="23" t="n">
        <f aca="false">'Qté 2027'!AS90*$C90</f>
        <v>0</v>
      </c>
      <c r="AT90" s="23" t="n">
        <f aca="false">'Qté 2027'!AT90*$C90</f>
        <v>0</v>
      </c>
      <c r="AU90" s="23" t="n">
        <f aca="false">'Qté 2027'!AU90*$C90</f>
        <v>0</v>
      </c>
      <c r="AV90" s="23" t="n">
        <f aca="false">'Qté 2027'!AV90*$C90</f>
        <v>0</v>
      </c>
      <c r="AW90" s="23" t="n">
        <f aca="false">'Qté 2027'!AW90*$C90</f>
        <v>0</v>
      </c>
      <c r="AX90" s="23" t="n">
        <f aca="false">'Qté 2027'!AX90*$C90</f>
        <v>0</v>
      </c>
      <c r="AY90" s="23" t="n">
        <f aca="false">'Qté 2027'!AY90*$C90</f>
        <v>0</v>
      </c>
      <c r="AZ90" s="23" t="n">
        <f aca="false">'Qté 2027'!AZ90*$C90</f>
        <v>0</v>
      </c>
      <c r="BA90" s="23" t="n">
        <f aca="false">'Qté 2027'!BA90*$C90</f>
        <v>0</v>
      </c>
      <c r="BB90" s="23" t="n">
        <f aca="false">'Qté 2027'!BB90*$C90</f>
        <v>0</v>
      </c>
      <c r="BC90" s="23" t="n">
        <f aca="false">'Qté 2027'!BC90*$C90</f>
        <v>0</v>
      </c>
      <c r="BD90" s="15" t="n">
        <f aca="false">SUM(D90:BC90)</f>
        <v>54.492</v>
      </c>
    </row>
    <row r="91" customFormat="false" ht="15" hidden="false" customHeight="false" outlineLevel="0" collapsed="false">
      <c r="A91" s="5" t="s">
        <v>267</v>
      </c>
      <c r="B91" s="5" t="s">
        <v>62</v>
      </c>
      <c r="C91" s="22" t="n">
        <v>22.79</v>
      </c>
      <c r="D91" s="23" t="n">
        <f aca="false">'Qté 2027'!D91*$C91</f>
        <v>0</v>
      </c>
      <c r="E91" s="23" t="n">
        <f aca="false">'Qté 2027'!E91*$C91</f>
        <v>0</v>
      </c>
      <c r="F91" s="23" t="n">
        <f aca="false">'Qté 2027'!F91*$C91</f>
        <v>0</v>
      </c>
      <c r="G91" s="23" t="n">
        <f aca="false">'Qté 2027'!G91*$C91</f>
        <v>0</v>
      </c>
      <c r="H91" s="23" t="n">
        <f aca="false">'Qté 2027'!H91*$C91</f>
        <v>0</v>
      </c>
      <c r="I91" s="23" t="n">
        <f aca="false">'Qté 2027'!I91*$C91</f>
        <v>0</v>
      </c>
      <c r="J91" s="23" t="n">
        <f aca="false">'Qté 2027'!J91*$C91</f>
        <v>0</v>
      </c>
      <c r="K91" s="23" t="n">
        <f aca="false">'Qté 2027'!K91*$C91</f>
        <v>0</v>
      </c>
      <c r="L91" s="23" t="n">
        <f aca="false">'Qté 2027'!L91*$C91</f>
        <v>0</v>
      </c>
      <c r="M91" s="23" t="n">
        <f aca="false">'Qté 2027'!M91*$C91</f>
        <v>0</v>
      </c>
      <c r="N91" s="23" t="n">
        <f aca="false">'Qté 2027'!N91*$C91</f>
        <v>3.6464</v>
      </c>
      <c r="O91" s="23" t="n">
        <f aca="false">'Qté 2027'!O91*$C91</f>
        <v>7.2928</v>
      </c>
      <c r="P91" s="23" t="n">
        <f aca="false">'Qté 2027'!P91*$C91</f>
        <v>3.6464</v>
      </c>
      <c r="Q91" s="23" t="n">
        <f aca="false">'Qté 2027'!Q91*$C91</f>
        <v>0</v>
      </c>
      <c r="R91" s="23" t="n">
        <f aca="false">'Qté 2027'!R91*$C91</f>
        <v>0</v>
      </c>
      <c r="S91" s="23" t="n">
        <f aca="false">'Qté 2027'!S91*$C91</f>
        <v>0</v>
      </c>
      <c r="T91" s="23" t="n">
        <f aca="false">'Qté 2027'!T91*$C91</f>
        <v>1.8232</v>
      </c>
      <c r="U91" s="23" t="n">
        <f aca="false">'Qté 2027'!U91*$C91</f>
        <v>3.6464</v>
      </c>
      <c r="V91" s="23" t="n">
        <f aca="false">'Qté 2027'!V91*$C91</f>
        <v>1.8232</v>
      </c>
      <c r="W91" s="23" t="n">
        <f aca="false">'Qté 2027'!W91*$C91</f>
        <v>1.8232</v>
      </c>
      <c r="X91" s="23" t="n">
        <f aca="false">'Qté 2027'!X91*$C91</f>
        <v>5.4696</v>
      </c>
      <c r="Y91" s="23" t="n">
        <f aca="false">'Qté 2027'!Y91*$C91</f>
        <v>5.4696</v>
      </c>
      <c r="Z91" s="23" t="n">
        <f aca="false">'Qté 2027'!Z91*$C91</f>
        <v>1.8232</v>
      </c>
      <c r="AA91" s="23" t="n">
        <f aca="false">'Qté 2027'!AA91*$C91</f>
        <v>0</v>
      </c>
      <c r="AB91" s="23" t="n">
        <f aca="false">'Qté 2027'!AB91*$C91</f>
        <v>1.8232</v>
      </c>
      <c r="AC91" s="23" t="n">
        <f aca="false">'Qté 2027'!AC91*$C91</f>
        <v>3.6464</v>
      </c>
      <c r="AD91" s="23" t="n">
        <f aca="false">'Qté 2027'!AD91*$C91</f>
        <v>1.8232</v>
      </c>
      <c r="AE91" s="23" t="n">
        <f aca="false">'Qté 2027'!AE91*$C91</f>
        <v>0</v>
      </c>
      <c r="AF91" s="23" t="n">
        <f aca="false">'Qté 2027'!AF91*$C91</f>
        <v>2.7348</v>
      </c>
      <c r="AG91" s="23" t="n">
        <f aca="false">'Qté 2027'!AG91*$C91</f>
        <v>5.2417</v>
      </c>
      <c r="AH91" s="23" t="n">
        <f aca="false">'Qté 2027'!AH91*$C91</f>
        <v>2.7348</v>
      </c>
      <c r="AI91" s="23" t="n">
        <f aca="false">'Qté 2027'!AI91*$C91</f>
        <v>0</v>
      </c>
      <c r="AJ91" s="23" t="n">
        <f aca="false">'Qté 2027'!AJ91*$C91</f>
        <v>0</v>
      </c>
      <c r="AK91" s="23" t="n">
        <f aca="false">'Qté 2027'!AK91*$C91</f>
        <v>0</v>
      </c>
      <c r="AL91" s="23" t="n">
        <f aca="false">'Qté 2027'!AL91*$C91</f>
        <v>0</v>
      </c>
      <c r="AM91" s="23" t="n">
        <f aca="false">'Qté 2027'!AM91*$C91</f>
        <v>0</v>
      </c>
      <c r="AN91" s="23" t="n">
        <f aca="false">'Qté 2027'!AN91*$C91</f>
        <v>0</v>
      </c>
      <c r="AO91" s="23" t="n">
        <f aca="false">'Qté 2027'!AO91*$C91</f>
        <v>0</v>
      </c>
      <c r="AP91" s="23" t="n">
        <f aca="false">'Qté 2027'!AP91*$C91</f>
        <v>0</v>
      </c>
      <c r="AQ91" s="23" t="n">
        <f aca="false">'Qté 2027'!AQ91*$C91</f>
        <v>0</v>
      </c>
      <c r="AR91" s="23" t="n">
        <f aca="false">'Qté 2027'!AR91*$C91</f>
        <v>0</v>
      </c>
      <c r="AS91" s="23" t="n">
        <f aca="false">'Qté 2027'!AS91*$C91</f>
        <v>0</v>
      </c>
      <c r="AT91" s="23" t="n">
        <f aca="false">'Qté 2027'!AT91*$C91</f>
        <v>0</v>
      </c>
      <c r="AU91" s="23" t="n">
        <f aca="false">'Qté 2027'!AU91*$C91</f>
        <v>0</v>
      </c>
      <c r="AV91" s="23" t="n">
        <f aca="false">'Qté 2027'!AV91*$C91</f>
        <v>0</v>
      </c>
      <c r="AW91" s="23" t="n">
        <f aca="false">'Qté 2027'!AW91*$C91</f>
        <v>0</v>
      </c>
      <c r="AX91" s="23" t="n">
        <f aca="false">'Qté 2027'!AX91*$C91</f>
        <v>0</v>
      </c>
      <c r="AY91" s="23" t="n">
        <f aca="false">'Qté 2027'!AY91*$C91</f>
        <v>0</v>
      </c>
      <c r="AZ91" s="23" t="n">
        <f aca="false">'Qté 2027'!AZ91*$C91</f>
        <v>0</v>
      </c>
      <c r="BA91" s="23" t="n">
        <f aca="false">'Qté 2027'!BA91*$C91</f>
        <v>0</v>
      </c>
      <c r="BB91" s="23" t="n">
        <f aca="false">'Qté 2027'!BB91*$C91</f>
        <v>0</v>
      </c>
      <c r="BC91" s="23" t="n">
        <f aca="false">'Qté 2027'!BC91*$C91</f>
        <v>0</v>
      </c>
      <c r="BD91" s="15" t="n">
        <f aca="false">SUM(D91:BC91)</f>
        <v>54.4681</v>
      </c>
    </row>
    <row r="92" customFormat="false" ht="15" hidden="false" customHeight="false" outlineLevel="0" collapsed="false">
      <c r="A92" s="5" t="s">
        <v>268</v>
      </c>
      <c r="B92" s="5" t="s">
        <v>45</v>
      </c>
      <c r="C92" s="22" t="n">
        <v>11.94</v>
      </c>
      <c r="D92" s="23" t="n">
        <f aca="false">'Qté 2027'!D92*$C92</f>
        <v>0.9552</v>
      </c>
      <c r="E92" s="23" t="n">
        <f aca="false">'Qté 2027'!E92*$C92</f>
        <v>1.9104</v>
      </c>
      <c r="F92" s="23" t="n">
        <f aca="false">'Qté 2027'!F92*$C92</f>
        <v>0.9552</v>
      </c>
      <c r="G92" s="23" t="n">
        <f aca="false">'Qté 2027'!G92*$C92</f>
        <v>0</v>
      </c>
      <c r="H92" s="23" t="n">
        <f aca="false">'Qté 2027'!H92*$C92</f>
        <v>0</v>
      </c>
      <c r="I92" s="23" t="n">
        <f aca="false">'Qté 2027'!I92*$C92</f>
        <v>0</v>
      </c>
      <c r="J92" s="23" t="n">
        <f aca="false">'Qté 2027'!J92*$C92</f>
        <v>0</v>
      </c>
      <c r="K92" s="23" t="n">
        <f aca="false">'Qté 2027'!K92*$C92</f>
        <v>0</v>
      </c>
      <c r="L92" s="23" t="n">
        <f aca="false">'Qté 2027'!L92*$C92</f>
        <v>0</v>
      </c>
      <c r="M92" s="23" t="n">
        <f aca="false">'Qté 2027'!M92*$C92</f>
        <v>0</v>
      </c>
      <c r="N92" s="23" t="n">
        <f aca="false">'Qté 2027'!N92*$C92</f>
        <v>0</v>
      </c>
      <c r="O92" s="23" t="n">
        <f aca="false">'Qté 2027'!O92*$C92</f>
        <v>0</v>
      </c>
      <c r="P92" s="23" t="n">
        <f aca="false">'Qté 2027'!P92*$C92</f>
        <v>0</v>
      </c>
      <c r="Q92" s="23" t="n">
        <f aca="false">'Qté 2027'!Q92*$C92</f>
        <v>1.791</v>
      </c>
      <c r="R92" s="23" t="n">
        <f aca="false">'Qté 2027'!R92*$C92</f>
        <v>3.4626</v>
      </c>
      <c r="S92" s="23" t="n">
        <f aca="false">'Qté 2027'!S92*$C92</f>
        <v>2.388</v>
      </c>
      <c r="T92" s="23" t="n">
        <f aca="false">'Qté 2027'!T92*$C92</f>
        <v>1.3134</v>
      </c>
      <c r="U92" s="23" t="n">
        <f aca="false">'Qté 2027'!U92*$C92</f>
        <v>0.7164</v>
      </c>
      <c r="V92" s="23" t="n">
        <f aca="false">'Qté 2027'!V92*$C92</f>
        <v>0</v>
      </c>
      <c r="W92" s="23" t="n">
        <f aca="false">'Qté 2027'!W92*$C92</f>
        <v>1.791</v>
      </c>
      <c r="X92" s="23" t="n">
        <f aca="false">'Qté 2027'!X92*$C92</f>
        <v>6.6864</v>
      </c>
      <c r="Y92" s="23" t="n">
        <f aca="false">'Qté 2027'!Y92*$C92</f>
        <v>8.2386</v>
      </c>
      <c r="Z92" s="23" t="n">
        <f aca="false">'Qté 2027'!Z92*$C92</f>
        <v>4.2984</v>
      </c>
      <c r="AA92" s="23" t="n">
        <f aca="false">'Qté 2027'!AA92*$C92</f>
        <v>2.1492</v>
      </c>
      <c r="AB92" s="23" t="n">
        <f aca="false">'Qté 2027'!AB92*$C92</f>
        <v>1.0746</v>
      </c>
      <c r="AC92" s="23" t="n">
        <f aca="false">'Qté 2027'!AC92*$C92</f>
        <v>0</v>
      </c>
      <c r="AD92" s="23" t="n">
        <f aca="false">'Qté 2027'!AD92*$C92</f>
        <v>1.0746</v>
      </c>
      <c r="AE92" s="23" t="n">
        <f aca="false">'Qté 2027'!AE92*$C92</f>
        <v>3.582</v>
      </c>
      <c r="AF92" s="23" t="n">
        <f aca="false">'Qté 2027'!AF92*$C92</f>
        <v>3.8208</v>
      </c>
      <c r="AG92" s="23" t="n">
        <f aca="false">'Qté 2027'!AG92*$C92</f>
        <v>1.4328</v>
      </c>
      <c r="AH92" s="23" t="n">
        <f aca="false">'Qté 2027'!AH92*$C92</f>
        <v>0</v>
      </c>
      <c r="AI92" s="23" t="n">
        <f aca="false">'Qté 2027'!AI92*$C92</f>
        <v>1.4328</v>
      </c>
      <c r="AJ92" s="23" t="n">
        <f aca="false">'Qté 2027'!AJ92*$C92</f>
        <v>2.7462</v>
      </c>
      <c r="AK92" s="23" t="n">
        <f aca="false">'Qté 2027'!AK92*$C92</f>
        <v>1.4328</v>
      </c>
      <c r="AL92" s="23" t="n">
        <f aca="false">'Qté 2027'!AL92*$C92</f>
        <v>0</v>
      </c>
      <c r="AM92" s="23" t="n">
        <f aca="false">'Qté 2027'!AM92*$C92</f>
        <v>0</v>
      </c>
      <c r="AN92" s="23" t="n">
        <f aca="false">'Qté 2027'!AN92*$C92</f>
        <v>0</v>
      </c>
      <c r="AO92" s="23" t="n">
        <f aca="false">'Qté 2027'!AO92*$C92</f>
        <v>0</v>
      </c>
      <c r="AP92" s="23" t="n">
        <f aca="false">'Qté 2027'!AP92*$C92</f>
        <v>0</v>
      </c>
      <c r="AQ92" s="23" t="n">
        <f aca="false">'Qté 2027'!AQ92*$C92</f>
        <v>0</v>
      </c>
      <c r="AR92" s="23" t="n">
        <f aca="false">'Qté 2027'!AR92*$C92</f>
        <v>0</v>
      </c>
      <c r="AS92" s="23" t="n">
        <f aca="false">'Qté 2027'!AS92*$C92</f>
        <v>0</v>
      </c>
      <c r="AT92" s="23" t="n">
        <f aca="false">'Qté 2027'!AT92*$C92</f>
        <v>0</v>
      </c>
      <c r="AU92" s="23" t="n">
        <f aca="false">'Qté 2027'!AU92*$C92</f>
        <v>0</v>
      </c>
      <c r="AV92" s="23" t="n">
        <f aca="false">'Qté 2027'!AV92*$C92</f>
        <v>0</v>
      </c>
      <c r="AW92" s="23" t="n">
        <f aca="false">'Qté 2027'!AW92*$C92</f>
        <v>0</v>
      </c>
      <c r="AX92" s="23" t="n">
        <f aca="false">'Qté 2027'!AX92*$C92</f>
        <v>0</v>
      </c>
      <c r="AY92" s="23" t="n">
        <f aca="false">'Qté 2027'!AY92*$C92</f>
        <v>0</v>
      </c>
      <c r="AZ92" s="23" t="n">
        <f aca="false">'Qté 2027'!AZ92*$C92</f>
        <v>0</v>
      </c>
      <c r="BA92" s="23" t="n">
        <f aca="false">'Qté 2027'!BA92*$C92</f>
        <v>0</v>
      </c>
      <c r="BB92" s="23" t="n">
        <f aca="false">'Qté 2027'!BB92*$C92</f>
        <v>0</v>
      </c>
      <c r="BC92" s="23" t="n">
        <f aca="false">'Qté 2027'!BC92*$C92</f>
        <v>0</v>
      </c>
      <c r="BD92" s="15" t="n">
        <f aca="false">SUM(D92:BC92)</f>
        <v>53.2524</v>
      </c>
    </row>
    <row r="93" customFormat="false" ht="15" hidden="false" customHeight="false" outlineLevel="0" collapsed="false">
      <c r="A93" s="5" t="s">
        <v>269</v>
      </c>
      <c r="B93" s="5" t="s">
        <v>45</v>
      </c>
      <c r="C93" s="22" t="n">
        <v>126</v>
      </c>
      <c r="D93" s="23" t="n">
        <f aca="false">'Qté 2027'!D93*$C93</f>
        <v>0</v>
      </c>
      <c r="E93" s="23" t="n">
        <f aca="false">'Qté 2027'!E93*$C93</f>
        <v>0</v>
      </c>
      <c r="F93" s="23" t="n">
        <f aca="false">'Qté 2027'!F93*$C93</f>
        <v>0</v>
      </c>
      <c r="G93" s="23" t="n">
        <f aca="false">'Qté 2027'!G93*$C93</f>
        <v>0</v>
      </c>
      <c r="H93" s="23" t="n">
        <f aca="false">'Qté 2027'!H93*$C93</f>
        <v>0</v>
      </c>
      <c r="I93" s="23" t="n">
        <f aca="false">'Qté 2027'!I93*$C93</f>
        <v>0</v>
      </c>
      <c r="J93" s="23" t="n">
        <f aca="false">'Qté 2027'!J93*$C93</f>
        <v>0</v>
      </c>
      <c r="K93" s="23" t="n">
        <f aca="false">'Qté 2027'!K93*$C93</f>
        <v>0</v>
      </c>
      <c r="L93" s="23" t="n">
        <f aca="false">'Qté 2027'!L93*$C93</f>
        <v>0</v>
      </c>
      <c r="M93" s="23" t="n">
        <f aca="false">'Qté 2027'!M93*$C93</f>
        <v>0</v>
      </c>
      <c r="N93" s="23" t="n">
        <f aca="false">'Qté 2027'!N93*$C93</f>
        <v>0</v>
      </c>
      <c r="O93" s="23" t="n">
        <f aca="false">'Qté 2027'!O93*$C93</f>
        <v>0</v>
      </c>
      <c r="P93" s="23" t="n">
        <f aca="false">'Qté 2027'!P93*$C93</f>
        <v>0</v>
      </c>
      <c r="Q93" s="23" t="n">
        <f aca="false">'Qté 2027'!Q93*$C93</f>
        <v>0</v>
      </c>
      <c r="R93" s="23" t="n">
        <f aca="false">'Qté 2027'!R93*$C93</f>
        <v>0</v>
      </c>
      <c r="S93" s="23" t="n">
        <f aca="false">'Qté 2027'!S93*$C93</f>
        <v>0</v>
      </c>
      <c r="T93" s="23" t="n">
        <f aca="false">'Qté 2027'!T93*$C93</f>
        <v>0</v>
      </c>
      <c r="U93" s="23" t="n">
        <f aca="false">'Qté 2027'!U93*$C93</f>
        <v>2.52</v>
      </c>
      <c r="V93" s="23" t="n">
        <f aca="false">'Qté 2027'!V93*$C93</f>
        <v>6.3</v>
      </c>
      <c r="W93" s="23" t="n">
        <f aca="false">'Qté 2027'!W93*$C93</f>
        <v>2.52</v>
      </c>
      <c r="X93" s="23" t="n">
        <f aca="false">'Qté 2027'!X93*$C93</f>
        <v>0</v>
      </c>
      <c r="Y93" s="23" t="n">
        <f aca="false">'Qté 2027'!Y93*$C93</f>
        <v>0</v>
      </c>
      <c r="Z93" s="23" t="n">
        <f aca="false">'Qté 2027'!Z93*$C93</f>
        <v>0</v>
      </c>
      <c r="AA93" s="23" t="n">
        <f aca="false">'Qté 2027'!AA93*$C93</f>
        <v>0</v>
      </c>
      <c r="AB93" s="23" t="n">
        <f aca="false">'Qté 2027'!AB93*$C93</f>
        <v>0</v>
      </c>
      <c r="AC93" s="23" t="n">
        <f aca="false">'Qté 2027'!AC93*$C93</f>
        <v>10.08</v>
      </c>
      <c r="AD93" s="23" t="n">
        <f aca="false">'Qté 2027'!AD93*$C93</f>
        <v>20.16</v>
      </c>
      <c r="AE93" s="23" t="n">
        <f aca="false">'Qté 2027'!AE93*$C93</f>
        <v>10.08</v>
      </c>
      <c r="AF93" s="23" t="n">
        <f aca="false">'Qté 2027'!AF93*$C93</f>
        <v>0</v>
      </c>
      <c r="AG93" s="23" t="n">
        <f aca="false">'Qté 2027'!AG93*$C93</f>
        <v>0</v>
      </c>
      <c r="AH93" s="23" t="n">
        <f aca="false">'Qté 2027'!AH93*$C93</f>
        <v>0</v>
      </c>
      <c r="AI93" s="23" t="n">
        <f aca="false">'Qté 2027'!AI93*$C93</f>
        <v>0</v>
      </c>
      <c r="AJ93" s="23" t="n">
        <f aca="false">'Qté 2027'!AJ93*$C93</f>
        <v>0</v>
      </c>
      <c r="AK93" s="23" t="n">
        <f aca="false">'Qté 2027'!AK93*$C93</f>
        <v>0</v>
      </c>
      <c r="AL93" s="23" t="n">
        <f aca="false">'Qté 2027'!AL93*$C93</f>
        <v>0</v>
      </c>
      <c r="AM93" s="23" t="n">
        <f aca="false">'Qté 2027'!AM93*$C93</f>
        <v>0</v>
      </c>
      <c r="AN93" s="23" t="n">
        <f aca="false">'Qté 2027'!AN93*$C93</f>
        <v>0</v>
      </c>
      <c r="AO93" s="23" t="n">
        <f aca="false">'Qté 2027'!AO93*$C93</f>
        <v>0</v>
      </c>
      <c r="AP93" s="23" t="n">
        <f aca="false">'Qté 2027'!AP93*$C93</f>
        <v>0</v>
      </c>
      <c r="AQ93" s="23" t="n">
        <f aca="false">'Qté 2027'!AQ93*$C93</f>
        <v>0</v>
      </c>
      <c r="AR93" s="23" t="n">
        <f aca="false">'Qté 2027'!AR93*$C93</f>
        <v>0</v>
      </c>
      <c r="AS93" s="23" t="n">
        <f aca="false">'Qté 2027'!AS93*$C93</f>
        <v>0</v>
      </c>
      <c r="AT93" s="23" t="n">
        <f aca="false">'Qté 2027'!AT93*$C93</f>
        <v>0</v>
      </c>
      <c r="AU93" s="23" t="n">
        <f aca="false">'Qté 2027'!AU93*$C93</f>
        <v>0</v>
      </c>
      <c r="AV93" s="23" t="n">
        <f aca="false">'Qté 2027'!AV93*$C93</f>
        <v>0</v>
      </c>
      <c r="AW93" s="23" t="n">
        <f aca="false">'Qté 2027'!AW93*$C93</f>
        <v>0</v>
      </c>
      <c r="AX93" s="23" t="n">
        <f aca="false">'Qté 2027'!AX93*$C93</f>
        <v>0</v>
      </c>
      <c r="AY93" s="23" t="n">
        <f aca="false">'Qté 2027'!AY93*$C93</f>
        <v>0</v>
      </c>
      <c r="AZ93" s="23" t="n">
        <f aca="false">'Qté 2027'!AZ93*$C93</f>
        <v>0</v>
      </c>
      <c r="BA93" s="23" t="n">
        <f aca="false">'Qté 2027'!BA93*$C93</f>
        <v>0</v>
      </c>
      <c r="BB93" s="23" t="n">
        <f aca="false">'Qté 2027'!BB93*$C93</f>
        <v>0</v>
      </c>
      <c r="BC93" s="23" t="n">
        <f aca="false">'Qté 2027'!BC93*$C93</f>
        <v>0</v>
      </c>
      <c r="BD93" s="15" t="n">
        <f aca="false">SUM(D93:BC93)</f>
        <v>51.66</v>
      </c>
    </row>
    <row r="94" customFormat="false" ht="15" hidden="false" customHeight="false" outlineLevel="0" collapsed="false">
      <c r="A94" s="5" t="s">
        <v>270</v>
      </c>
      <c r="B94" s="5" t="s">
        <v>69</v>
      </c>
      <c r="C94" s="22" t="n">
        <v>14.28</v>
      </c>
      <c r="D94" s="23" t="n">
        <f aca="false">'Qté 2027'!D94*$C94</f>
        <v>0</v>
      </c>
      <c r="E94" s="23" t="n">
        <f aca="false">'Qté 2027'!E94*$C94</f>
        <v>0</v>
      </c>
      <c r="F94" s="23" t="n">
        <f aca="false">'Qté 2027'!F94*$C94</f>
        <v>0</v>
      </c>
      <c r="G94" s="23" t="n">
        <f aca="false">'Qté 2027'!G94*$C94</f>
        <v>0</v>
      </c>
      <c r="H94" s="23" t="n">
        <f aca="false">'Qté 2027'!H94*$C94</f>
        <v>0</v>
      </c>
      <c r="I94" s="23" t="n">
        <f aca="false">'Qté 2027'!I94*$C94</f>
        <v>0</v>
      </c>
      <c r="J94" s="23" t="n">
        <f aca="false">'Qté 2027'!J94*$C94</f>
        <v>0</v>
      </c>
      <c r="K94" s="23" t="n">
        <f aca="false">'Qté 2027'!K94*$C94</f>
        <v>0</v>
      </c>
      <c r="L94" s="23" t="n">
        <f aca="false">'Qté 2027'!L94*$C94</f>
        <v>0</v>
      </c>
      <c r="M94" s="23" t="n">
        <f aca="false">'Qté 2027'!M94*$C94</f>
        <v>0</v>
      </c>
      <c r="N94" s="23" t="n">
        <f aca="false">'Qté 2027'!N94*$C94</f>
        <v>0</v>
      </c>
      <c r="O94" s="23" t="n">
        <f aca="false">'Qté 2027'!O94*$C94</f>
        <v>0</v>
      </c>
      <c r="P94" s="23" t="n">
        <f aca="false">'Qté 2027'!P94*$C94</f>
        <v>0</v>
      </c>
      <c r="Q94" s="23" t="n">
        <f aca="false">'Qté 2027'!Q94*$C94</f>
        <v>0</v>
      </c>
      <c r="R94" s="23" t="n">
        <f aca="false">'Qté 2027'!R94*$C94</f>
        <v>0</v>
      </c>
      <c r="S94" s="23" t="n">
        <f aca="false">'Qté 2027'!S94*$C94</f>
        <v>0</v>
      </c>
      <c r="T94" s="23" t="n">
        <f aca="false">'Qté 2027'!T94*$C94</f>
        <v>5.1408</v>
      </c>
      <c r="U94" s="23" t="n">
        <f aca="false">'Qté 2027'!U94*$C94</f>
        <v>11.5668</v>
      </c>
      <c r="V94" s="23" t="n">
        <f aca="false">'Qté 2027'!V94*$C94</f>
        <v>7.7112</v>
      </c>
      <c r="W94" s="23" t="n">
        <f aca="false">'Qté 2027'!W94*$C94</f>
        <v>1.2852</v>
      </c>
      <c r="X94" s="23" t="n">
        <f aca="false">'Qté 2027'!X94*$C94</f>
        <v>0</v>
      </c>
      <c r="Y94" s="23" t="n">
        <f aca="false">'Qté 2027'!Y94*$C94</f>
        <v>0</v>
      </c>
      <c r="Z94" s="23" t="n">
        <f aca="false">'Qté 2027'!Z94*$C94</f>
        <v>0</v>
      </c>
      <c r="AA94" s="23" t="n">
        <f aca="false">'Qté 2027'!AA94*$C94</f>
        <v>0</v>
      </c>
      <c r="AB94" s="23" t="n">
        <f aca="false">'Qté 2027'!AB94*$C94</f>
        <v>0</v>
      </c>
      <c r="AC94" s="23" t="n">
        <f aca="false">'Qté 2027'!AC94*$C94</f>
        <v>0</v>
      </c>
      <c r="AD94" s="23" t="n">
        <f aca="false">'Qté 2027'!AD94*$C94</f>
        <v>0</v>
      </c>
      <c r="AE94" s="23" t="n">
        <f aca="false">'Qté 2027'!AE94*$C94</f>
        <v>0</v>
      </c>
      <c r="AF94" s="23" t="n">
        <f aca="false">'Qté 2027'!AF94*$C94</f>
        <v>1.1424</v>
      </c>
      <c r="AG94" s="23" t="n">
        <f aca="false">'Qté 2027'!AG94*$C94</f>
        <v>5.712</v>
      </c>
      <c r="AH94" s="23" t="n">
        <f aca="false">'Qté 2027'!AH94*$C94</f>
        <v>7.854</v>
      </c>
      <c r="AI94" s="23" t="n">
        <f aca="false">'Qté 2027'!AI94*$C94</f>
        <v>4.998</v>
      </c>
      <c r="AJ94" s="23" t="n">
        <f aca="false">'Qté 2027'!AJ94*$C94</f>
        <v>3.2844</v>
      </c>
      <c r="AK94" s="23" t="n">
        <f aca="false">'Qté 2027'!AK94*$C94</f>
        <v>1.7136</v>
      </c>
      <c r="AL94" s="23" t="n">
        <f aca="false">'Qté 2027'!AL94*$C94</f>
        <v>0</v>
      </c>
      <c r="AM94" s="23" t="n">
        <f aca="false">'Qté 2027'!AM94*$C94</f>
        <v>0</v>
      </c>
      <c r="AN94" s="23" t="n">
        <f aca="false">'Qté 2027'!AN94*$C94</f>
        <v>0</v>
      </c>
      <c r="AO94" s="23" t="n">
        <f aca="false">'Qté 2027'!AO94*$C94</f>
        <v>0</v>
      </c>
      <c r="AP94" s="23" t="n">
        <f aca="false">'Qté 2027'!AP94*$C94</f>
        <v>0</v>
      </c>
      <c r="AQ94" s="23" t="n">
        <f aca="false">'Qté 2027'!AQ94*$C94</f>
        <v>0</v>
      </c>
      <c r="AR94" s="23" t="n">
        <f aca="false">'Qté 2027'!AR94*$C94</f>
        <v>0</v>
      </c>
      <c r="AS94" s="23" t="n">
        <f aca="false">'Qté 2027'!AS94*$C94</f>
        <v>0</v>
      </c>
      <c r="AT94" s="23" t="n">
        <f aca="false">'Qté 2027'!AT94*$C94</f>
        <v>0</v>
      </c>
      <c r="AU94" s="23" t="n">
        <f aca="false">'Qté 2027'!AU94*$C94</f>
        <v>0</v>
      </c>
      <c r="AV94" s="23" t="n">
        <f aca="false">'Qté 2027'!AV94*$C94</f>
        <v>0</v>
      </c>
      <c r="AW94" s="23" t="n">
        <f aca="false">'Qté 2027'!AW94*$C94</f>
        <v>0</v>
      </c>
      <c r="AX94" s="23" t="n">
        <f aca="false">'Qté 2027'!AX94*$C94</f>
        <v>0</v>
      </c>
      <c r="AY94" s="23" t="n">
        <f aca="false">'Qté 2027'!AY94*$C94</f>
        <v>0</v>
      </c>
      <c r="AZ94" s="23" t="n">
        <f aca="false">'Qté 2027'!AZ94*$C94</f>
        <v>0</v>
      </c>
      <c r="BA94" s="23" t="n">
        <f aca="false">'Qté 2027'!BA94*$C94</f>
        <v>0</v>
      </c>
      <c r="BB94" s="23" t="n">
        <f aca="false">'Qté 2027'!BB94*$C94</f>
        <v>0</v>
      </c>
      <c r="BC94" s="23" t="n">
        <f aca="false">'Qté 2027'!BC94*$C94</f>
        <v>0</v>
      </c>
      <c r="BD94" s="15" t="n">
        <f aca="false">SUM(D94:BC94)</f>
        <v>50.4084</v>
      </c>
    </row>
    <row r="95" customFormat="false" ht="15" hidden="false" customHeight="false" outlineLevel="0" collapsed="false">
      <c r="A95" s="5" t="s">
        <v>271</v>
      </c>
      <c r="B95" s="5" t="s">
        <v>45</v>
      </c>
      <c r="C95" s="22" t="n">
        <v>15.6</v>
      </c>
      <c r="D95" s="23" t="n">
        <f aca="false">'Qté 2027'!D95*$C95</f>
        <v>0</v>
      </c>
      <c r="E95" s="23" t="n">
        <f aca="false">'Qté 2027'!E95*$C95</f>
        <v>0</v>
      </c>
      <c r="F95" s="23" t="n">
        <f aca="false">'Qté 2027'!F95*$C95</f>
        <v>0</v>
      </c>
      <c r="G95" s="23" t="n">
        <f aca="false">'Qté 2027'!G95*$C95</f>
        <v>0</v>
      </c>
      <c r="H95" s="23" t="n">
        <f aca="false">'Qté 2027'!H95*$C95</f>
        <v>0</v>
      </c>
      <c r="I95" s="23" t="n">
        <f aca="false">'Qté 2027'!I95*$C95</f>
        <v>0</v>
      </c>
      <c r="J95" s="23" t="n">
        <f aca="false">'Qté 2027'!J95*$C95</f>
        <v>0</v>
      </c>
      <c r="K95" s="23" t="n">
        <f aca="false">'Qté 2027'!K95*$C95</f>
        <v>0</v>
      </c>
      <c r="L95" s="23" t="n">
        <f aca="false">'Qté 2027'!L95*$C95</f>
        <v>0</v>
      </c>
      <c r="M95" s="23" t="n">
        <f aca="false">'Qté 2027'!M95*$C95</f>
        <v>0</v>
      </c>
      <c r="N95" s="23" t="n">
        <f aca="false">'Qté 2027'!N95*$C95</f>
        <v>0</v>
      </c>
      <c r="O95" s="23" t="n">
        <f aca="false">'Qté 2027'!O95*$C95</f>
        <v>0</v>
      </c>
      <c r="P95" s="23" t="n">
        <f aca="false">'Qté 2027'!P95*$C95</f>
        <v>0</v>
      </c>
      <c r="Q95" s="23" t="n">
        <f aca="false">'Qté 2027'!Q95*$C95</f>
        <v>1.404</v>
      </c>
      <c r="R95" s="23" t="n">
        <f aca="false">'Qté 2027'!R95*$C95</f>
        <v>2.808</v>
      </c>
      <c r="S95" s="23" t="n">
        <f aca="false">'Qté 2027'!S95*$C95</f>
        <v>1.404</v>
      </c>
      <c r="T95" s="23" t="n">
        <f aca="false">'Qté 2027'!T95*$C95</f>
        <v>0.936</v>
      </c>
      <c r="U95" s="23" t="n">
        <f aca="false">'Qté 2027'!U95*$C95</f>
        <v>2.652</v>
      </c>
      <c r="V95" s="23" t="n">
        <f aca="false">'Qté 2027'!V95*$C95</f>
        <v>3.9</v>
      </c>
      <c r="W95" s="23" t="n">
        <f aca="false">'Qté 2027'!W95*$C95</f>
        <v>3.276</v>
      </c>
      <c r="X95" s="23" t="n">
        <f aca="false">'Qté 2027'!X95*$C95</f>
        <v>2.496</v>
      </c>
      <c r="Y95" s="23" t="n">
        <f aca="false">'Qté 2027'!Y95*$C95</f>
        <v>3.744</v>
      </c>
      <c r="Z95" s="23" t="n">
        <f aca="false">'Qté 2027'!Z95*$C95</f>
        <v>4.992</v>
      </c>
      <c r="AA95" s="23" t="n">
        <f aca="false">'Qté 2027'!AA95*$C95</f>
        <v>3.744</v>
      </c>
      <c r="AB95" s="23" t="n">
        <f aca="false">'Qté 2027'!AB95*$C95</f>
        <v>1.248</v>
      </c>
      <c r="AC95" s="23" t="n">
        <f aca="false">'Qté 2027'!AC95*$C95</f>
        <v>0</v>
      </c>
      <c r="AD95" s="23" t="n">
        <f aca="false">'Qté 2027'!AD95*$C95</f>
        <v>0.936</v>
      </c>
      <c r="AE95" s="23" t="n">
        <f aca="false">'Qté 2027'!AE95*$C95</f>
        <v>1.716</v>
      </c>
      <c r="AF95" s="23" t="n">
        <f aca="false">'Qté 2027'!AF95*$C95</f>
        <v>2.184</v>
      </c>
      <c r="AG95" s="23" t="n">
        <f aca="false">'Qté 2027'!AG95*$C95</f>
        <v>2.652</v>
      </c>
      <c r="AH95" s="23" t="n">
        <f aca="false">'Qté 2027'!AH95*$C95</f>
        <v>3.12</v>
      </c>
      <c r="AI95" s="23" t="n">
        <f aca="false">'Qté 2027'!AI95*$C95</f>
        <v>3.588</v>
      </c>
      <c r="AJ95" s="23" t="n">
        <f aca="false">'Qté 2027'!AJ95*$C95</f>
        <v>1.872</v>
      </c>
      <c r="AK95" s="23" t="n">
        <f aca="false">'Qté 2027'!AK95*$C95</f>
        <v>0</v>
      </c>
      <c r="AL95" s="23" t="n">
        <f aca="false">'Qté 2027'!AL95*$C95</f>
        <v>0</v>
      </c>
      <c r="AM95" s="23" t="n">
        <f aca="false">'Qté 2027'!AM95*$C95</f>
        <v>0</v>
      </c>
      <c r="AN95" s="23" t="n">
        <f aca="false">'Qté 2027'!AN95*$C95</f>
        <v>0</v>
      </c>
      <c r="AO95" s="23" t="n">
        <f aca="false">'Qté 2027'!AO95*$C95</f>
        <v>0</v>
      </c>
      <c r="AP95" s="23" t="n">
        <f aca="false">'Qté 2027'!AP95*$C95</f>
        <v>0</v>
      </c>
      <c r="AQ95" s="23" t="n">
        <f aca="false">'Qté 2027'!AQ95*$C95</f>
        <v>0</v>
      </c>
      <c r="AR95" s="23" t="n">
        <f aca="false">'Qté 2027'!AR95*$C95</f>
        <v>0</v>
      </c>
      <c r="AS95" s="23" t="n">
        <f aca="false">'Qté 2027'!AS95*$C95</f>
        <v>0</v>
      </c>
      <c r="AT95" s="23" t="n">
        <f aca="false">'Qté 2027'!AT95*$C95</f>
        <v>0</v>
      </c>
      <c r="AU95" s="23" t="n">
        <f aca="false">'Qté 2027'!AU95*$C95</f>
        <v>0</v>
      </c>
      <c r="AV95" s="23" t="n">
        <f aca="false">'Qté 2027'!AV95*$C95</f>
        <v>0</v>
      </c>
      <c r="AW95" s="23" t="n">
        <f aca="false">'Qté 2027'!AW95*$C95</f>
        <v>0</v>
      </c>
      <c r="AX95" s="23" t="n">
        <f aca="false">'Qté 2027'!AX95*$C95</f>
        <v>0</v>
      </c>
      <c r="AY95" s="23" t="n">
        <f aca="false">'Qté 2027'!AY95*$C95</f>
        <v>0</v>
      </c>
      <c r="AZ95" s="23" t="n">
        <f aca="false">'Qté 2027'!AZ95*$C95</f>
        <v>0</v>
      </c>
      <c r="BA95" s="23" t="n">
        <f aca="false">'Qté 2027'!BA95*$C95</f>
        <v>0</v>
      </c>
      <c r="BB95" s="23" t="n">
        <f aca="false">'Qté 2027'!BB95*$C95</f>
        <v>0</v>
      </c>
      <c r="BC95" s="23" t="n">
        <f aca="false">'Qté 2027'!BC95*$C95</f>
        <v>0</v>
      </c>
      <c r="BD95" s="15" t="n">
        <f aca="false">SUM(D95:BC95)</f>
        <v>48.672</v>
      </c>
    </row>
    <row r="96" customFormat="false" ht="15" hidden="false" customHeight="false" outlineLevel="0" collapsed="false">
      <c r="A96" s="5" t="s">
        <v>272</v>
      </c>
      <c r="B96" s="5" t="s">
        <v>62</v>
      </c>
      <c r="C96" s="22" t="n">
        <v>23.19</v>
      </c>
      <c r="D96" s="23" t="n">
        <f aca="false">'Qté 2027'!D96*$C96</f>
        <v>0</v>
      </c>
      <c r="E96" s="23" t="n">
        <f aca="false">'Qté 2027'!E96*$C96</f>
        <v>0</v>
      </c>
      <c r="F96" s="23" t="n">
        <f aca="false">'Qté 2027'!F96*$C96</f>
        <v>0</v>
      </c>
      <c r="G96" s="23" t="n">
        <f aca="false">'Qté 2027'!G96*$C96</f>
        <v>0</v>
      </c>
      <c r="H96" s="23" t="n">
        <f aca="false">'Qté 2027'!H96*$C96</f>
        <v>0</v>
      </c>
      <c r="I96" s="23" t="n">
        <f aca="false">'Qté 2027'!I96*$C96</f>
        <v>0</v>
      </c>
      <c r="J96" s="23" t="n">
        <f aca="false">'Qté 2027'!J96*$C96</f>
        <v>0</v>
      </c>
      <c r="K96" s="23" t="n">
        <f aca="false">'Qté 2027'!K96*$C96</f>
        <v>0</v>
      </c>
      <c r="L96" s="23" t="n">
        <f aca="false">'Qté 2027'!L96*$C96</f>
        <v>0</v>
      </c>
      <c r="M96" s="23" t="n">
        <f aca="false">'Qté 2027'!M96*$C96</f>
        <v>0</v>
      </c>
      <c r="N96" s="23" t="n">
        <f aca="false">'Qté 2027'!N96*$C96</f>
        <v>0</v>
      </c>
      <c r="O96" s="23" t="n">
        <f aca="false">'Qté 2027'!O96*$C96</f>
        <v>0</v>
      </c>
      <c r="P96" s="23" t="n">
        <f aca="false">'Qté 2027'!P96*$C96</f>
        <v>0</v>
      </c>
      <c r="Q96" s="23" t="n">
        <f aca="false">'Qté 2027'!Q96*$C96</f>
        <v>0</v>
      </c>
      <c r="R96" s="23" t="n">
        <f aca="false">'Qté 2027'!R96*$C96</f>
        <v>0</v>
      </c>
      <c r="S96" s="23" t="n">
        <f aca="false">'Qté 2027'!S96*$C96</f>
        <v>0</v>
      </c>
      <c r="T96" s="23" t="n">
        <f aca="false">'Qté 2027'!T96*$C96</f>
        <v>0</v>
      </c>
      <c r="U96" s="23" t="n">
        <f aca="false">'Qté 2027'!U96*$C96</f>
        <v>0</v>
      </c>
      <c r="V96" s="23" t="n">
        <f aca="false">'Qté 2027'!V96*$C96</f>
        <v>0.6957</v>
      </c>
      <c r="W96" s="23" t="n">
        <f aca="false">'Qté 2027'!W96*$C96</f>
        <v>1.6233</v>
      </c>
      <c r="X96" s="23" t="n">
        <f aca="false">'Qté 2027'!X96*$C96</f>
        <v>1.8552</v>
      </c>
      <c r="Y96" s="23" t="n">
        <f aca="false">'Qté 2027'!Y96*$C96</f>
        <v>2.0871</v>
      </c>
      <c r="Z96" s="23" t="n">
        <f aca="false">'Qté 2027'!Z96*$C96</f>
        <v>1.1595</v>
      </c>
      <c r="AA96" s="23" t="n">
        <f aca="false">'Qté 2027'!AA96*$C96</f>
        <v>2.5509</v>
      </c>
      <c r="AB96" s="23" t="n">
        <f aca="false">'Qté 2027'!AB96*$C96</f>
        <v>5.3337</v>
      </c>
      <c r="AC96" s="23" t="n">
        <f aca="false">'Qté 2027'!AC96*$C96</f>
        <v>4.8699</v>
      </c>
      <c r="AD96" s="23" t="n">
        <f aca="false">'Qté 2027'!AD96*$C96</f>
        <v>9.5079</v>
      </c>
      <c r="AE96" s="23" t="n">
        <f aca="false">'Qté 2027'!AE96*$C96</f>
        <v>11.8269</v>
      </c>
      <c r="AF96" s="23" t="n">
        <f aca="false">'Qté 2027'!AF96*$C96</f>
        <v>4.638</v>
      </c>
      <c r="AG96" s="23" t="n">
        <f aca="false">'Qté 2027'!AG96*$C96</f>
        <v>0</v>
      </c>
      <c r="AH96" s="23" t="n">
        <f aca="false">'Qté 2027'!AH96*$C96</f>
        <v>0</v>
      </c>
      <c r="AI96" s="23" t="n">
        <f aca="false">'Qté 2027'!AI96*$C96</f>
        <v>0</v>
      </c>
      <c r="AJ96" s="23" t="n">
        <f aca="false">'Qté 2027'!AJ96*$C96</f>
        <v>0</v>
      </c>
      <c r="AK96" s="23" t="n">
        <f aca="false">'Qté 2027'!AK96*$C96</f>
        <v>0</v>
      </c>
      <c r="AL96" s="23" t="n">
        <f aca="false">'Qté 2027'!AL96*$C96</f>
        <v>0</v>
      </c>
      <c r="AM96" s="23" t="n">
        <f aca="false">'Qté 2027'!AM96*$C96</f>
        <v>0</v>
      </c>
      <c r="AN96" s="23" t="n">
        <f aca="false">'Qté 2027'!AN96*$C96</f>
        <v>0</v>
      </c>
      <c r="AO96" s="23" t="n">
        <f aca="false">'Qté 2027'!AO96*$C96</f>
        <v>0</v>
      </c>
      <c r="AP96" s="23" t="n">
        <f aca="false">'Qté 2027'!AP96*$C96</f>
        <v>0</v>
      </c>
      <c r="AQ96" s="23" t="n">
        <f aca="false">'Qté 2027'!AQ96*$C96</f>
        <v>0</v>
      </c>
      <c r="AR96" s="23" t="n">
        <f aca="false">'Qté 2027'!AR96*$C96</f>
        <v>0</v>
      </c>
      <c r="AS96" s="23" t="n">
        <f aca="false">'Qté 2027'!AS96*$C96</f>
        <v>0</v>
      </c>
      <c r="AT96" s="23" t="n">
        <f aca="false">'Qté 2027'!AT96*$C96</f>
        <v>0</v>
      </c>
      <c r="AU96" s="23" t="n">
        <f aca="false">'Qté 2027'!AU96*$C96</f>
        <v>0</v>
      </c>
      <c r="AV96" s="23" t="n">
        <f aca="false">'Qté 2027'!AV96*$C96</f>
        <v>0</v>
      </c>
      <c r="AW96" s="23" t="n">
        <f aca="false">'Qté 2027'!AW96*$C96</f>
        <v>0</v>
      </c>
      <c r="AX96" s="23" t="n">
        <f aca="false">'Qté 2027'!AX96*$C96</f>
        <v>0</v>
      </c>
      <c r="AY96" s="23" t="n">
        <f aca="false">'Qté 2027'!AY96*$C96</f>
        <v>0</v>
      </c>
      <c r="AZ96" s="23" t="n">
        <f aca="false">'Qté 2027'!AZ96*$C96</f>
        <v>0</v>
      </c>
      <c r="BA96" s="23" t="n">
        <f aca="false">'Qté 2027'!BA96*$C96</f>
        <v>0</v>
      </c>
      <c r="BB96" s="23" t="n">
        <f aca="false">'Qté 2027'!BB96*$C96</f>
        <v>0</v>
      </c>
      <c r="BC96" s="23" t="n">
        <f aca="false">'Qté 2027'!BC96*$C96</f>
        <v>0</v>
      </c>
      <c r="BD96" s="15" t="n">
        <f aca="false">SUM(D96:BC96)</f>
        <v>46.1481</v>
      </c>
    </row>
    <row r="97" customFormat="false" ht="15" hidden="false" customHeight="false" outlineLevel="0" collapsed="false">
      <c r="A97" s="5" t="s">
        <v>273</v>
      </c>
      <c r="B97" s="5" t="s">
        <v>69</v>
      </c>
      <c r="C97" s="22" t="n">
        <v>24.05</v>
      </c>
      <c r="D97" s="23" t="n">
        <f aca="false">'Qté 2027'!D97*$C97</f>
        <v>0</v>
      </c>
      <c r="E97" s="23" t="n">
        <f aca="false">'Qté 2027'!E97*$C97</f>
        <v>0</v>
      </c>
      <c r="F97" s="23" t="n">
        <f aca="false">'Qté 2027'!F97*$C97</f>
        <v>0</v>
      </c>
      <c r="G97" s="23" t="n">
        <f aca="false">'Qté 2027'!G97*$C97</f>
        <v>0</v>
      </c>
      <c r="H97" s="23" t="n">
        <f aca="false">'Qté 2027'!H97*$C97</f>
        <v>0</v>
      </c>
      <c r="I97" s="23" t="n">
        <f aca="false">'Qté 2027'!I97*$C97</f>
        <v>0</v>
      </c>
      <c r="J97" s="23" t="n">
        <f aca="false">'Qté 2027'!J97*$C97</f>
        <v>0</v>
      </c>
      <c r="K97" s="23" t="n">
        <f aca="false">'Qté 2027'!K97*$C97</f>
        <v>0</v>
      </c>
      <c r="L97" s="23" t="n">
        <f aca="false">'Qté 2027'!L97*$C97</f>
        <v>0</v>
      </c>
      <c r="M97" s="23" t="n">
        <f aca="false">'Qté 2027'!M97*$C97</f>
        <v>0</v>
      </c>
      <c r="N97" s="23" t="n">
        <f aca="false">'Qté 2027'!N97*$C97</f>
        <v>0</v>
      </c>
      <c r="O97" s="23" t="n">
        <f aca="false">'Qté 2027'!O97*$C97</f>
        <v>0</v>
      </c>
      <c r="P97" s="23" t="n">
        <f aca="false">'Qté 2027'!P97*$C97</f>
        <v>0</v>
      </c>
      <c r="Q97" s="23" t="n">
        <f aca="false">'Qté 2027'!Q97*$C97</f>
        <v>4.81</v>
      </c>
      <c r="R97" s="23" t="n">
        <f aca="false">'Qté 2027'!R97*$C97</f>
        <v>9.8605</v>
      </c>
      <c r="S97" s="23" t="n">
        <f aca="false">'Qté 2027'!S97*$C97</f>
        <v>4.81</v>
      </c>
      <c r="T97" s="23" t="n">
        <f aca="false">'Qté 2027'!T97*$C97</f>
        <v>0</v>
      </c>
      <c r="U97" s="23" t="n">
        <f aca="false">'Qté 2027'!U97*$C97</f>
        <v>1.924</v>
      </c>
      <c r="V97" s="23" t="n">
        <f aca="false">'Qté 2027'!V97*$C97</f>
        <v>3.848</v>
      </c>
      <c r="W97" s="23" t="n">
        <f aca="false">'Qté 2027'!W97*$C97</f>
        <v>1.924</v>
      </c>
      <c r="X97" s="23" t="n">
        <f aca="false">'Qté 2027'!X97*$C97</f>
        <v>0</v>
      </c>
      <c r="Y97" s="23" t="n">
        <f aca="false">'Qté 2027'!Y97*$C97</f>
        <v>0</v>
      </c>
      <c r="Z97" s="23" t="n">
        <f aca="false">'Qté 2027'!Z97*$C97</f>
        <v>0</v>
      </c>
      <c r="AA97" s="23" t="n">
        <f aca="false">'Qté 2027'!AA97*$C97</f>
        <v>2.405</v>
      </c>
      <c r="AB97" s="23" t="n">
        <f aca="false">'Qté 2027'!AB97*$C97</f>
        <v>4.81</v>
      </c>
      <c r="AC97" s="23" t="n">
        <f aca="false">'Qté 2027'!AC97*$C97</f>
        <v>4.329</v>
      </c>
      <c r="AD97" s="23" t="n">
        <f aca="false">'Qté 2027'!AD97*$C97</f>
        <v>3.848</v>
      </c>
      <c r="AE97" s="23" t="n">
        <f aca="false">'Qté 2027'!AE97*$C97</f>
        <v>1.924</v>
      </c>
      <c r="AF97" s="23" t="n">
        <f aca="false">'Qté 2027'!AF97*$C97</f>
        <v>0</v>
      </c>
      <c r="AG97" s="23" t="n">
        <f aca="false">'Qté 2027'!AG97*$C97</f>
        <v>0</v>
      </c>
      <c r="AH97" s="23" t="n">
        <f aca="false">'Qté 2027'!AH97*$C97</f>
        <v>0</v>
      </c>
      <c r="AI97" s="23" t="n">
        <f aca="false">'Qté 2027'!AI97*$C97</f>
        <v>0</v>
      </c>
      <c r="AJ97" s="23" t="n">
        <f aca="false">'Qté 2027'!AJ97*$C97</f>
        <v>0</v>
      </c>
      <c r="AK97" s="23" t="n">
        <f aca="false">'Qté 2027'!AK97*$C97</f>
        <v>0</v>
      </c>
      <c r="AL97" s="23" t="n">
        <f aca="false">'Qté 2027'!AL97*$C97</f>
        <v>0</v>
      </c>
      <c r="AM97" s="23" t="n">
        <f aca="false">'Qté 2027'!AM97*$C97</f>
        <v>0</v>
      </c>
      <c r="AN97" s="23" t="n">
        <f aca="false">'Qté 2027'!AN97*$C97</f>
        <v>0</v>
      </c>
      <c r="AO97" s="23" t="n">
        <f aca="false">'Qté 2027'!AO97*$C97</f>
        <v>0</v>
      </c>
      <c r="AP97" s="23" t="n">
        <f aca="false">'Qté 2027'!AP97*$C97</f>
        <v>0</v>
      </c>
      <c r="AQ97" s="23" t="n">
        <f aca="false">'Qté 2027'!AQ97*$C97</f>
        <v>0</v>
      </c>
      <c r="AR97" s="23" t="n">
        <f aca="false">'Qté 2027'!AR97*$C97</f>
        <v>0</v>
      </c>
      <c r="AS97" s="23" t="n">
        <f aca="false">'Qté 2027'!AS97*$C97</f>
        <v>0</v>
      </c>
      <c r="AT97" s="23" t="n">
        <f aca="false">'Qté 2027'!AT97*$C97</f>
        <v>0</v>
      </c>
      <c r="AU97" s="23" t="n">
        <f aca="false">'Qté 2027'!AU97*$C97</f>
        <v>0</v>
      </c>
      <c r="AV97" s="23" t="n">
        <f aca="false">'Qté 2027'!AV97*$C97</f>
        <v>0</v>
      </c>
      <c r="AW97" s="23" t="n">
        <f aca="false">'Qté 2027'!AW97*$C97</f>
        <v>0</v>
      </c>
      <c r="AX97" s="23" t="n">
        <f aca="false">'Qté 2027'!AX97*$C97</f>
        <v>0</v>
      </c>
      <c r="AY97" s="23" t="n">
        <f aca="false">'Qté 2027'!AY97*$C97</f>
        <v>0</v>
      </c>
      <c r="AZ97" s="23" t="n">
        <f aca="false">'Qté 2027'!AZ97*$C97</f>
        <v>0</v>
      </c>
      <c r="BA97" s="23" t="n">
        <f aca="false">'Qté 2027'!BA97*$C97</f>
        <v>0</v>
      </c>
      <c r="BB97" s="23" t="n">
        <f aca="false">'Qté 2027'!BB97*$C97</f>
        <v>0</v>
      </c>
      <c r="BC97" s="23" t="n">
        <f aca="false">'Qté 2027'!BC97*$C97</f>
        <v>0</v>
      </c>
      <c r="BD97" s="15" t="n">
        <f aca="false">SUM(D97:BC97)</f>
        <v>44.4925</v>
      </c>
    </row>
    <row r="98" customFormat="false" ht="15" hidden="false" customHeight="false" outlineLevel="0" collapsed="false">
      <c r="A98" s="5" t="s">
        <v>274</v>
      </c>
      <c r="B98" s="5" t="s">
        <v>69</v>
      </c>
      <c r="C98" s="22" t="n">
        <v>16.08</v>
      </c>
      <c r="D98" s="23" t="n">
        <f aca="false">'Qté 2027'!D98*$C98</f>
        <v>0</v>
      </c>
      <c r="E98" s="23" t="n">
        <f aca="false">'Qté 2027'!E98*$C98</f>
        <v>0</v>
      </c>
      <c r="F98" s="23" t="n">
        <f aca="false">'Qté 2027'!F98*$C98</f>
        <v>0</v>
      </c>
      <c r="G98" s="23" t="n">
        <f aca="false">'Qté 2027'!G98*$C98</f>
        <v>0</v>
      </c>
      <c r="H98" s="23" t="n">
        <f aca="false">'Qté 2027'!H98*$C98</f>
        <v>0</v>
      </c>
      <c r="I98" s="23" t="n">
        <f aca="false">'Qté 2027'!I98*$C98</f>
        <v>0</v>
      </c>
      <c r="J98" s="23" t="n">
        <f aca="false">'Qté 2027'!J98*$C98</f>
        <v>0</v>
      </c>
      <c r="K98" s="23" t="n">
        <f aca="false">'Qté 2027'!K98*$C98</f>
        <v>0</v>
      </c>
      <c r="L98" s="23" t="n">
        <f aca="false">'Qté 2027'!L98*$C98</f>
        <v>0</v>
      </c>
      <c r="M98" s="23" t="n">
        <f aca="false">'Qté 2027'!M98*$C98</f>
        <v>0</v>
      </c>
      <c r="N98" s="23" t="n">
        <f aca="false">'Qté 2027'!N98*$C98</f>
        <v>0</v>
      </c>
      <c r="O98" s="23" t="n">
        <f aca="false">'Qté 2027'!O98*$C98</f>
        <v>0</v>
      </c>
      <c r="P98" s="23" t="n">
        <f aca="false">'Qté 2027'!P98*$C98</f>
        <v>0</v>
      </c>
      <c r="Q98" s="23" t="n">
        <f aca="false">'Qté 2027'!Q98*$C98</f>
        <v>0</v>
      </c>
      <c r="R98" s="23" t="n">
        <f aca="false">'Qté 2027'!R98*$C98</f>
        <v>0</v>
      </c>
      <c r="S98" s="23" t="n">
        <f aca="false">'Qté 2027'!S98*$C98</f>
        <v>0</v>
      </c>
      <c r="T98" s="23" t="n">
        <f aca="false">'Qté 2027'!T98*$C98</f>
        <v>0</v>
      </c>
      <c r="U98" s="23" t="n">
        <f aca="false">'Qté 2027'!U98*$C98</f>
        <v>0</v>
      </c>
      <c r="V98" s="23" t="n">
        <f aca="false">'Qté 2027'!V98*$C98</f>
        <v>0</v>
      </c>
      <c r="W98" s="23" t="n">
        <f aca="false">'Qté 2027'!W98*$C98</f>
        <v>0</v>
      </c>
      <c r="X98" s="23" t="n">
        <f aca="false">'Qté 2027'!X98*$C98</f>
        <v>0.3216</v>
      </c>
      <c r="Y98" s="23" t="n">
        <f aca="false">'Qté 2027'!Y98*$C98</f>
        <v>0.804</v>
      </c>
      <c r="Z98" s="23" t="n">
        <f aca="false">'Qté 2027'!Z98*$C98</f>
        <v>1.7688</v>
      </c>
      <c r="AA98" s="23" t="n">
        <f aca="false">'Qté 2027'!AA98*$C98</f>
        <v>7.236</v>
      </c>
      <c r="AB98" s="23" t="n">
        <f aca="false">'Qté 2027'!AB98*$C98</f>
        <v>11.5776</v>
      </c>
      <c r="AC98" s="23" t="n">
        <f aca="false">'Qté 2027'!AC98*$C98</f>
        <v>7.236</v>
      </c>
      <c r="AD98" s="23" t="n">
        <f aca="false">'Qté 2027'!AD98*$C98</f>
        <v>4.3416</v>
      </c>
      <c r="AE98" s="23" t="n">
        <f aca="false">'Qté 2027'!AE98*$C98</f>
        <v>5.7888</v>
      </c>
      <c r="AF98" s="23" t="n">
        <f aca="false">'Qté 2027'!AF98*$C98</f>
        <v>3.3768</v>
      </c>
      <c r="AG98" s="23" t="n">
        <f aca="false">'Qté 2027'!AG98*$C98</f>
        <v>1.1256</v>
      </c>
      <c r="AH98" s="23" t="n">
        <f aca="false">'Qté 2027'!AH98*$C98</f>
        <v>0.4824</v>
      </c>
      <c r="AI98" s="23" t="n">
        <f aca="false">'Qté 2027'!AI98*$C98</f>
        <v>0</v>
      </c>
      <c r="AJ98" s="23" t="n">
        <f aca="false">'Qté 2027'!AJ98*$C98</f>
        <v>0</v>
      </c>
      <c r="AK98" s="23" t="n">
        <f aca="false">'Qté 2027'!AK98*$C98</f>
        <v>0</v>
      </c>
      <c r="AL98" s="23" t="n">
        <f aca="false">'Qté 2027'!AL98*$C98</f>
        <v>0</v>
      </c>
      <c r="AM98" s="23" t="n">
        <f aca="false">'Qté 2027'!AM98*$C98</f>
        <v>0</v>
      </c>
      <c r="AN98" s="23" t="n">
        <f aca="false">'Qté 2027'!AN98*$C98</f>
        <v>0</v>
      </c>
      <c r="AO98" s="23" t="n">
        <f aca="false">'Qté 2027'!AO98*$C98</f>
        <v>0</v>
      </c>
      <c r="AP98" s="23" t="n">
        <f aca="false">'Qté 2027'!AP98*$C98</f>
        <v>0</v>
      </c>
      <c r="AQ98" s="23" t="n">
        <f aca="false">'Qté 2027'!AQ98*$C98</f>
        <v>0</v>
      </c>
      <c r="AR98" s="23" t="n">
        <f aca="false">'Qté 2027'!AR98*$C98</f>
        <v>0</v>
      </c>
      <c r="AS98" s="23" t="n">
        <f aca="false">'Qté 2027'!AS98*$C98</f>
        <v>0</v>
      </c>
      <c r="AT98" s="23" t="n">
        <f aca="false">'Qté 2027'!AT98*$C98</f>
        <v>0</v>
      </c>
      <c r="AU98" s="23" t="n">
        <f aca="false">'Qté 2027'!AU98*$C98</f>
        <v>0</v>
      </c>
      <c r="AV98" s="23" t="n">
        <f aca="false">'Qté 2027'!AV98*$C98</f>
        <v>0</v>
      </c>
      <c r="AW98" s="23" t="n">
        <f aca="false">'Qté 2027'!AW98*$C98</f>
        <v>0</v>
      </c>
      <c r="AX98" s="23" t="n">
        <f aca="false">'Qté 2027'!AX98*$C98</f>
        <v>0</v>
      </c>
      <c r="AY98" s="23" t="n">
        <f aca="false">'Qté 2027'!AY98*$C98</f>
        <v>0</v>
      </c>
      <c r="AZ98" s="23" t="n">
        <f aca="false">'Qté 2027'!AZ98*$C98</f>
        <v>0</v>
      </c>
      <c r="BA98" s="23" t="n">
        <f aca="false">'Qté 2027'!BA98*$C98</f>
        <v>0</v>
      </c>
      <c r="BB98" s="23" t="n">
        <f aca="false">'Qté 2027'!BB98*$C98</f>
        <v>0</v>
      </c>
      <c r="BC98" s="23" t="n">
        <f aca="false">'Qté 2027'!BC98*$C98</f>
        <v>0</v>
      </c>
      <c r="BD98" s="15" t="n">
        <f aca="false">SUM(D98:BC98)</f>
        <v>44.0592</v>
      </c>
    </row>
    <row r="99" customFormat="false" ht="15" hidden="false" customHeight="false" outlineLevel="0" collapsed="false">
      <c r="A99" s="5" t="s">
        <v>275</v>
      </c>
      <c r="B99" s="5" t="s">
        <v>45</v>
      </c>
      <c r="C99" s="22" t="n">
        <v>133.2</v>
      </c>
      <c r="D99" s="23" t="n">
        <f aca="false">'Qté 2027'!D99*$C99</f>
        <v>0</v>
      </c>
      <c r="E99" s="23" t="n">
        <f aca="false">'Qté 2027'!E99*$C99</f>
        <v>0</v>
      </c>
      <c r="F99" s="23" t="n">
        <f aca="false">'Qté 2027'!F99*$C99</f>
        <v>0</v>
      </c>
      <c r="G99" s="23" t="n">
        <f aca="false">'Qté 2027'!G99*$C99</f>
        <v>0</v>
      </c>
      <c r="H99" s="23" t="n">
        <f aca="false">'Qté 2027'!H99*$C99</f>
        <v>0</v>
      </c>
      <c r="I99" s="23" t="n">
        <f aca="false">'Qté 2027'!I99*$C99</f>
        <v>0</v>
      </c>
      <c r="J99" s="23" t="n">
        <f aca="false">'Qté 2027'!J99*$C99</f>
        <v>0</v>
      </c>
      <c r="K99" s="23" t="n">
        <f aca="false">'Qté 2027'!K99*$C99</f>
        <v>0</v>
      </c>
      <c r="L99" s="23" t="n">
        <f aca="false">'Qté 2027'!L99*$C99</f>
        <v>0</v>
      </c>
      <c r="M99" s="23" t="n">
        <f aca="false">'Qté 2027'!M99*$C99</f>
        <v>0</v>
      </c>
      <c r="N99" s="23" t="n">
        <f aca="false">'Qté 2027'!N99*$C99</f>
        <v>0</v>
      </c>
      <c r="O99" s="23" t="n">
        <f aca="false">'Qté 2027'!O99*$C99</f>
        <v>0</v>
      </c>
      <c r="P99" s="23" t="n">
        <f aca="false">'Qté 2027'!P99*$C99</f>
        <v>0</v>
      </c>
      <c r="Q99" s="23" t="n">
        <f aca="false">'Qté 2027'!Q99*$C99</f>
        <v>0</v>
      </c>
      <c r="R99" s="23" t="n">
        <f aca="false">'Qté 2027'!R99*$C99</f>
        <v>0</v>
      </c>
      <c r="S99" s="23" t="n">
        <f aca="false">'Qté 2027'!S99*$C99</f>
        <v>0</v>
      </c>
      <c r="T99" s="23" t="n">
        <f aca="false">'Qté 2027'!T99*$C99</f>
        <v>0</v>
      </c>
      <c r="U99" s="23" t="n">
        <f aca="false">'Qté 2027'!U99*$C99</f>
        <v>0</v>
      </c>
      <c r="V99" s="23" t="n">
        <f aca="false">'Qté 2027'!V99*$C99</f>
        <v>0</v>
      </c>
      <c r="W99" s="23" t="n">
        <f aca="false">'Qté 2027'!W99*$C99</f>
        <v>0</v>
      </c>
      <c r="X99" s="23" t="n">
        <f aca="false">'Qté 2027'!X99*$C99</f>
        <v>0</v>
      </c>
      <c r="Y99" s="23" t="n">
        <f aca="false">'Qté 2027'!Y99*$C99</f>
        <v>0</v>
      </c>
      <c r="Z99" s="23" t="n">
        <f aca="false">'Qté 2027'!Z99*$C99</f>
        <v>0</v>
      </c>
      <c r="AA99" s="23" t="n">
        <f aca="false">'Qté 2027'!AA99*$C99</f>
        <v>0</v>
      </c>
      <c r="AB99" s="23" t="n">
        <f aca="false">'Qté 2027'!AB99*$C99</f>
        <v>0</v>
      </c>
      <c r="AC99" s="23" t="n">
        <f aca="false">'Qté 2027'!AC99*$C99</f>
        <v>0</v>
      </c>
      <c r="AD99" s="23" t="n">
        <f aca="false">'Qté 2027'!AD99*$C99</f>
        <v>0</v>
      </c>
      <c r="AE99" s="23" t="n">
        <f aca="false">'Qté 2027'!AE99*$C99</f>
        <v>0</v>
      </c>
      <c r="AF99" s="23" t="n">
        <f aca="false">'Qté 2027'!AF99*$C99</f>
        <v>0</v>
      </c>
      <c r="AG99" s="23" t="n">
        <f aca="false">'Qté 2027'!AG99*$C99</f>
        <v>10.656</v>
      </c>
      <c r="AH99" s="23" t="n">
        <f aca="false">'Qté 2027'!AH99*$C99</f>
        <v>22.644</v>
      </c>
      <c r="AI99" s="23" t="n">
        <f aca="false">'Qté 2027'!AI99*$C99</f>
        <v>10.656</v>
      </c>
      <c r="AJ99" s="23" t="n">
        <f aca="false">'Qté 2027'!AJ99*$C99</f>
        <v>0</v>
      </c>
      <c r="AK99" s="23" t="n">
        <f aca="false">'Qté 2027'!AK99*$C99</f>
        <v>0</v>
      </c>
      <c r="AL99" s="23" t="n">
        <f aca="false">'Qté 2027'!AL99*$C99</f>
        <v>0</v>
      </c>
      <c r="AM99" s="23" t="n">
        <f aca="false">'Qté 2027'!AM99*$C99</f>
        <v>0</v>
      </c>
      <c r="AN99" s="23" t="n">
        <f aca="false">'Qté 2027'!AN99*$C99</f>
        <v>0</v>
      </c>
      <c r="AO99" s="23" t="n">
        <f aca="false">'Qté 2027'!AO99*$C99</f>
        <v>0</v>
      </c>
      <c r="AP99" s="23" t="n">
        <f aca="false">'Qté 2027'!AP99*$C99</f>
        <v>0</v>
      </c>
      <c r="AQ99" s="23" t="n">
        <f aca="false">'Qté 2027'!AQ99*$C99</f>
        <v>0</v>
      </c>
      <c r="AR99" s="23" t="n">
        <f aca="false">'Qté 2027'!AR99*$C99</f>
        <v>0</v>
      </c>
      <c r="AS99" s="23" t="n">
        <f aca="false">'Qté 2027'!AS99*$C99</f>
        <v>0</v>
      </c>
      <c r="AT99" s="23" t="n">
        <f aca="false">'Qté 2027'!AT99*$C99</f>
        <v>0</v>
      </c>
      <c r="AU99" s="23" t="n">
        <f aca="false">'Qté 2027'!AU99*$C99</f>
        <v>0</v>
      </c>
      <c r="AV99" s="23" t="n">
        <f aca="false">'Qté 2027'!AV99*$C99</f>
        <v>0</v>
      </c>
      <c r="AW99" s="23" t="n">
        <f aca="false">'Qté 2027'!AW99*$C99</f>
        <v>0</v>
      </c>
      <c r="AX99" s="23" t="n">
        <f aca="false">'Qté 2027'!AX99*$C99</f>
        <v>0</v>
      </c>
      <c r="AY99" s="23" t="n">
        <f aca="false">'Qté 2027'!AY99*$C99</f>
        <v>0</v>
      </c>
      <c r="AZ99" s="23" t="n">
        <f aca="false">'Qté 2027'!AZ99*$C99</f>
        <v>0</v>
      </c>
      <c r="BA99" s="23" t="n">
        <f aca="false">'Qté 2027'!BA99*$C99</f>
        <v>0</v>
      </c>
      <c r="BB99" s="23" t="n">
        <f aca="false">'Qté 2027'!BB99*$C99</f>
        <v>0</v>
      </c>
      <c r="BC99" s="23" t="n">
        <f aca="false">'Qté 2027'!BC99*$C99</f>
        <v>0</v>
      </c>
      <c r="BD99" s="15" t="n">
        <f aca="false">SUM(D99:BC99)</f>
        <v>43.956</v>
      </c>
    </row>
    <row r="100" customFormat="false" ht="15" hidden="false" customHeight="false" outlineLevel="0" collapsed="false">
      <c r="A100" s="5" t="s">
        <v>276</v>
      </c>
      <c r="B100" s="5" t="s">
        <v>45</v>
      </c>
      <c r="C100" s="22" t="n">
        <v>55.63</v>
      </c>
      <c r="D100" s="23" t="n">
        <f aca="false">'Qté 2027'!D100*$C100</f>
        <v>0</v>
      </c>
      <c r="E100" s="23" t="n">
        <f aca="false">'Qté 2027'!E100*$C100</f>
        <v>0</v>
      </c>
      <c r="F100" s="23" t="n">
        <f aca="false">'Qté 2027'!F100*$C100</f>
        <v>0</v>
      </c>
      <c r="G100" s="23" t="n">
        <f aca="false">'Qté 2027'!G100*$C100</f>
        <v>0</v>
      </c>
      <c r="H100" s="23" t="n">
        <f aca="false">'Qté 2027'!H100*$C100</f>
        <v>0</v>
      </c>
      <c r="I100" s="23" t="n">
        <f aca="false">'Qté 2027'!I100*$C100</f>
        <v>0</v>
      </c>
      <c r="J100" s="23" t="n">
        <f aca="false">'Qté 2027'!J100*$C100</f>
        <v>0</v>
      </c>
      <c r="K100" s="23" t="n">
        <f aca="false">'Qté 2027'!K100*$C100</f>
        <v>0</v>
      </c>
      <c r="L100" s="23" t="n">
        <f aca="false">'Qté 2027'!L100*$C100</f>
        <v>0</v>
      </c>
      <c r="M100" s="23" t="n">
        <f aca="false">'Qté 2027'!M100*$C100</f>
        <v>0</v>
      </c>
      <c r="N100" s="23" t="n">
        <f aca="false">'Qté 2027'!N100*$C100</f>
        <v>0</v>
      </c>
      <c r="O100" s="23" t="n">
        <f aca="false">'Qté 2027'!O100*$C100</f>
        <v>0</v>
      </c>
      <c r="P100" s="23" t="n">
        <f aca="false">'Qté 2027'!P100*$C100</f>
        <v>0</v>
      </c>
      <c r="Q100" s="23" t="n">
        <f aca="false">'Qté 2027'!Q100*$C100</f>
        <v>4.4504</v>
      </c>
      <c r="R100" s="23" t="n">
        <f aca="false">'Qté 2027'!R100*$C100</f>
        <v>8.9008</v>
      </c>
      <c r="S100" s="23" t="n">
        <f aca="false">'Qté 2027'!S100*$C100</f>
        <v>4.4504</v>
      </c>
      <c r="T100" s="23" t="n">
        <f aca="false">'Qté 2027'!T100*$C100</f>
        <v>0</v>
      </c>
      <c r="U100" s="23" t="n">
        <f aca="false">'Qté 2027'!U100*$C100</f>
        <v>0</v>
      </c>
      <c r="V100" s="23" t="n">
        <f aca="false">'Qté 2027'!V100*$C100</f>
        <v>0</v>
      </c>
      <c r="W100" s="23" t="n">
        <f aca="false">'Qté 2027'!W100*$C100</f>
        <v>4.4504</v>
      </c>
      <c r="X100" s="23" t="n">
        <f aca="false">'Qté 2027'!X100*$C100</f>
        <v>8.9008</v>
      </c>
      <c r="Y100" s="23" t="n">
        <f aca="false">'Qté 2027'!Y100*$C100</f>
        <v>4.4504</v>
      </c>
      <c r="Z100" s="23" t="n">
        <f aca="false">'Qté 2027'!Z100*$C100</f>
        <v>0</v>
      </c>
      <c r="AA100" s="23" t="n">
        <f aca="false">'Qté 2027'!AA100*$C100</f>
        <v>0</v>
      </c>
      <c r="AB100" s="23" t="n">
        <f aca="false">'Qté 2027'!AB100*$C100</f>
        <v>0</v>
      </c>
      <c r="AC100" s="23" t="n">
        <f aca="false">'Qté 2027'!AC100*$C100</f>
        <v>0</v>
      </c>
      <c r="AD100" s="23" t="n">
        <f aca="false">'Qté 2027'!AD100*$C100</f>
        <v>0</v>
      </c>
      <c r="AE100" s="23" t="n">
        <f aca="false">'Qté 2027'!AE100*$C100</f>
        <v>0</v>
      </c>
      <c r="AF100" s="23" t="n">
        <f aca="false">'Qté 2027'!AF100*$C100</f>
        <v>0</v>
      </c>
      <c r="AG100" s="23" t="n">
        <f aca="false">'Qté 2027'!AG100*$C100</f>
        <v>0</v>
      </c>
      <c r="AH100" s="23" t="n">
        <f aca="false">'Qté 2027'!AH100*$C100</f>
        <v>0</v>
      </c>
      <c r="AI100" s="23" t="n">
        <f aca="false">'Qté 2027'!AI100*$C100</f>
        <v>0</v>
      </c>
      <c r="AJ100" s="23" t="n">
        <f aca="false">'Qté 2027'!AJ100*$C100</f>
        <v>0</v>
      </c>
      <c r="AK100" s="23" t="n">
        <f aca="false">'Qté 2027'!AK100*$C100</f>
        <v>0</v>
      </c>
      <c r="AL100" s="23" t="n">
        <f aca="false">'Qté 2027'!AL100*$C100</f>
        <v>0</v>
      </c>
      <c r="AM100" s="23" t="n">
        <f aca="false">'Qté 2027'!AM100*$C100</f>
        <v>0</v>
      </c>
      <c r="AN100" s="23" t="n">
        <f aca="false">'Qté 2027'!AN100*$C100</f>
        <v>0</v>
      </c>
      <c r="AO100" s="23" t="n">
        <f aca="false">'Qté 2027'!AO100*$C100</f>
        <v>0</v>
      </c>
      <c r="AP100" s="23" t="n">
        <f aca="false">'Qté 2027'!AP100*$C100</f>
        <v>0</v>
      </c>
      <c r="AQ100" s="23" t="n">
        <f aca="false">'Qté 2027'!AQ100*$C100</f>
        <v>0</v>
      </c>
      <c r="AR100" s="23" t="n">
        <f aca="false">'Qté 2027'!AR100*$C100</f>
        <v>0</v>
      </c>
      <c r="AS100" s="23" t="n">
        <f aca="false">'Qté 2027'!AS100*$C100</f>
        <v>0</v>
      </c>
      <c r="AT100" s="23" t="n">
        <f aca="false">'Qté 2027'!AT100*$C100</f>
        <v>0</v>
      </c>
      <c r="AU100" s="23" t="n">
        <f aca="false">'Qté 2027'!AU100*$C100</f>
        <v>0</v>
      </c>
      <c r="AV100" s="23" t="n">
        <f aca="false">'Qté 2027'!AV100*$C100</f>
        <v>0</v>
      </c>
      <c r="AW100" s="23" t="n">
        <f aca="false">'Qté 2027'!AW100*$C100</f>
        <v>0</v>
      </c>
      <c r="AX100" s="23" t="n">
        <f aca="false">'Qté 2027'!AX100*$C100</f>
        <v>0</v>
      </c>
      <c r="AY100" s="23" t="n">
        <f aca="false">'Qté 2027'!AY100*$C100</f>
        <v>0</v>
      </c>
      <c r="AZ100" s="23" t="n">
        <f aca="false">'Qté 2027'!AZ100*$C100</f>
        <v>0</v>
      </c>
      <c r="BA100" s="23" t="n">
        <f aca="false">'Qté 2027'!BA100*$C100</f>
        <v>0</v>
      </c>
      <c r="BB100" s="23" t="n">
        <f aca="false">'Qté 2027'!BB100*$C100</f>
        <v>0</v>
      </c>
      <c r="BC100" s="23" t="n">
        <f aca="false">'Qté 2027'!BC100*$C100</f>
        <v>0</v>
      </c>
      <c r="BD100" s="15" t="n">
        <f aca="false">SUM(D100:BC100)</f>
        <v>35.6032</v>
      </c>
    </row>
    <row r="101" customFormat="false" ht="15" hidden="false" customHeight="false" outlineLevel="0" collapsed="false">
      <c r="A101" s="5" t="s">
        <v>277</v>
      </c>
      <c r="B101" s="5" t="s">
        <v>45</v>
      </c>
      <c r="C101" s="22" t="n">
        <v>3.76</v>
      </c>
      <c r="D101" s="23" t="n">
        <f aca="false">'Qté 2027'!D101*$C101</f>
        <v>0</v>
      </c>
      <c r="E101" s="23" t="n">
        <f aca="false">'Qté 2027'!E101*$C101</f>
        <v>0</v>
      </c>
      <c r="F101" s="23" t="n">
        <f aca="false">'Qté 2027'!F101*$C101</f>
        <v>0</v>
      </c>
      <c r="G101" s="23" t="n">
        <f aca="false">'Qté 2027'!G101*$C101</f>
        <v>0</v>
      </c>
      <c r="H101" s="23" t="n">
        <f aca="false">'Qté 2027'!H101*$C101</f>
        <v>0</v>
      </c>
      <c r="I101" s="23" t="n">
        <f aca="false">'Qté 2027'!I101*$C101</f>
        <v>0</v>
      </c>
      <c r="J101" s="23" t="n">
        <f aca="false">'Qté 2027'!J101*$C101</f>
        <v>0</v>
      </c>
      <c r="K101" s="23" t="n">
        <f aca="false">'Qté 2027'!K101*$C101</f>
        <v>0</v>
      </c>
      <c r="L101" s="23" t="n">
        <f aca="false">'Qté 2027'!L101*$C101</f>
        <v>0</v>
      </c>
      <c r="M101" s="23" t="n">
        <f aca="false">'Qté 2027'!M101*$C101</f>
        <v>0</v>
      </c>
      <c r="N101" s="23" t="n">
        <f aca="false">'Qté 2027'!N101*$C101</f>
        <v>0</v>
      </c>
      <c r="O101" s="23" t="n">
        <f aca="false">'Qté 2027'!O101*$C101</f>
        <v>0</v>
      </c>
      <c r="P101" s="23" t="n">
        <f aca="false">'Qté 2027'!P101*$C101</f>
        <v>0.2256</v>
      </c>
      <c r="Q101" s="23" t="n">
        <f aca="false">'Qté 2027'!Q101*$C101</f>
        <v>1.2408</v>
      </c>
      <c r="R101" s="23" t="n">
        <f aca="false">'Qté 2027'!R101*$C101</f>
        <v>2.1056</v>
      </c>
      <c r="S101" s="23" t="n">
        <f aca="false">'Qté 2027'!S101*$C101</f>
        <v>1.5792</v>
      </c>
      <c r="T101" s="23" t="n">
        <f aca="false">'Qté 2027'!T101*$C101</f>
        <v>1.2784</v>
      </c>
      <c r="U101" s="23" t="n">
        <f aca="false">'Qté 2027'!U101*$C101</f>
        <v>2.0304</v>
      </c>
      <c r="V101" s="23" t="n">
        <f aca="false">'Qté 2027'!V101*$C101</f>
        <v>2.068</v>
      </c>
      <c r="W101" s="23" t="n">
        <f aca="false">'Qté 2027'!W101*$C101</f>
        <v>1.2032</v>
      </c>
      <c r="X101" s="23" t="n">
        <f aca="false">'Qté 2027'!X101*$C101</f>
        <v>0.94</v>
      </c>
      <c r="Y101" s="23" t="n">
        <f aca="false">'Qté 2027'!Y101*$C101</f>
        <v>1.0904</v>
      </c>
      <c r="Z101" s="23" t="n">
        <f aca="false">'Qté 2027'!Z101*$C101</f>
        <v>1.0904</v>
      </c>
      <c r="AA101" s="23" t="n">
        <f aca="false">'Qté 2027'!AA101*$C101</f>
        <v>1.88</v>
      </c>
      <c r="AB101" s="23" t="n">
        <f aca="false">'Qté 2027'!AB101*$C101</f>
        <v>2.256</v>
      </c>
      <c r="AC101" s="23" t="n">
        <f aca="false">'Qté 2027'!AC101*$C101</f>
        <v>1.2784</v>
      </c>
      <c r="AD101" s="23" t="n">
        <f aca="false">'Qté 2027'!AD101*$C101</f>
        <v>0.7896</v>
      </c>
      <c r="AE101" s="23" t="n">
        <f aca="false">'Qté 2027'!AE101*$C101</f>
        <v>1.316</v>
      </c>
      <c r="AF101" s="23" t="n">
        <f aca="false">'Qté 2027'!AF101*$C101</f>
        <v>1.2408</v>
      </c>
      <c r="AG101" s="23" t="n">
        <f aca="false">'Qté 2027'!AG101*$C101</f>
        <v>0.564</v>
      </c>
      <c r="AH101" s="23" t="n">
        <f aca="false">'Qté 2027'!AH101*$C101</f>
        <v>1.7672</v>
      </c>
      <c r="AI101" s="23" t="n">
        <f aca="false">'Qté 2027'!AI101*$C101</f>
        <v>3.572</v>
      </c>
      <c r="AJ101" s="23" t="n">
        <f aca="false">'Qté 2027'!AJ101*$C101</f>
        <v>2.256</v>
      </c>
      <c r="AK101" s="23" t="n">
        <f aca="false">'Qté 2027'!AK101*$C101</f>
        <v>0.3008</v>
      </c>
      <c r="AL101" s="23" t="n">
        <f aca="false">'Qté 2027'!AL101*$C101</f>
        <v>0</v>
      </c>
      <c r="AM101" s="23" t="n">
        <f aca="false">'Qté 2027'!AM101*$C101</f>
        <v>0.4512</v>
      </c>
      <c r="AN101" s="23" t="n">
        <f aca="false">'Qté 2027'!AN101*$C101</f>
        <v>1.0152</v>
      </c>
      <c r="AO101" s="23" t="n">
        <f aca="false">'Qté 2027'!AO101*$C101</f>
        <v>0.6768</v>
      </c>
      <c r="AP101" s="23" t="n">
        <f aca="false">'Qté 2027'!AP101*$C101</f>
        <v>0.1128</v>
      </c>
      <c r="AQ101" s="23" t="n">
        <f aca="false">'Qté 2027'!AQ101*$C101</f>
        <v>0</v>
      </c>
      <c r="AR101" s="23" t="n">
        <f aca="false">'Qté 2027'!AR101*$C101</f>
        <v>0</v>
      </c>
      <c r="AS101" s="23" t="n">
        <f aca="false">'Qté 2027'!AS101*$C101</f>
        <v>0</v>
      </c>
      <c r="AT101" s="23" t="n">
        <f aca="false">'Qté 2027'!AT101*$C101</f>
        <v>0</v>
      </c>
      <c r="AU101" s="23" t="n">
        <f aca="false">'Qté 2027'!AU101*$C101</f>
        <v>0.3008</v>
      </c>
      <c r="AV101" s="23" t="n">
        <f aca="false">'Qté 2027'!AV101*$C101</f>
        <v>0.6392</v>
      </c>
      <c r="AW101" s="23" t="n">
        <f aca="false">'Qté 2027'!AW101*$C101</f>
        <v>0.3008</v>
      </c>
      <c r="AX101" s="23" t="n">
        <f aca="false">'Qté 2027'!AX101*$C101</f>
        <v>0</v>
      </c>
      <c r="AY101" s="23" t="n">
        <f aca="false">'Qté 2027'!AY101*$C101</f>
        <v>0</v>
      </c>
      <c r="AZ101" s="23" t="n">
        <f aca="false">'Qté 2027'!AZ101*$C101</f>
        <v>0</v>
      </c>
      <c r="BA101" s="23" t="n">
        <f aca="false">'Qté 2027'!BA101*$C101</f>
        <v>0</v>
      </c>
      <c r="BB101" s="23" t="n">
        <f aca="false">'Qté 2027'!BB101*$C101</f>
        <v>0</v>
      </c>
      <c r="BC101" s="23" t="n">
        <f aca="false">'Qté 2027'!BC101*$C101</f>
        <v>0</v>
      </c>
      <c r="BD101" s="15" t="n">
        <f aca="false">SUM(D101:BC101)</f>
        <v>35.5696</v>
      </c>
    </row>
    <row r="102" customFormat="false" ht="15" hidden="false" customHeight="false" outlineLevel="0" collapsed="false">
      <c r="A102" s="5" t="s">
        <v>278</v>
      </c>
      <c r="B102" s="5" t="s">
        <v>57</v>
      </c>
      <c r="C102" s="22" t="n">
        <v>25.2</v>
      </c>
      <c r="D102" s="23" t="n">
        <f aca="false">'Qté 2027'!D102*$C102</f>
        <v>0</v>
      </c>
      <c r="E102" s="23" t="n">
        <f aca="false">'Qté 2027'!E102*$C102</f>
        <v>0</v>
      </c>
      <c r="F102" s="23" t="n">
        <f aca="false">'Qté 2027'!F102*$C102</f>
        <v>0</v>
      </c>
      <c r="G102" s="23" t="n">
        <f aca="false">'Qté 2027'!G102*$C102</f>
        <v>0</v>
      </c>
      <c r="H102" s="23" t="n">
        <f aca="false">'Qté 2027'!H102*$C102</f>
        <v>0</v>
      </c>
      <c r="I102" s="23" t="n">
        <f aca="false">'Qté 2027'!I102*$C102</f>
        <v>0</v>
      </c>
      <c r="J102" s="23" t="n">
        <f aca="false">'Qté 2027'!J102*$C102</f>
        <v>0</v>
      </c>
      <c r="K102" s="23" t="n">
        <f aca="false">'Qté 2027'!K102*$C102</f>
        <v>0</v>
      </c>
      <c r="L102" s="23" t="n">
        <f aca="false">'Qté 2027'!L102*$C102</f>
        <v>0</v>
      </c>
      <c r="M102" s="23" t="n">
        <f aca="false">'Qté 2027'!M102*$C102</f>
        <v>0</v>
      </c>
      <c r="N102" s="23" t="n">
        <f aca="false">'Qté 2027'!N102*$C102</f>
        <v>0</v>
      </c>
      <c r="O102" s="23" t="n">
        <f aca="false">'Qté 2027'!O102*$C102</f>
        <v>0</v>
      </c>
      <c r="P102" s="23" t="n">
        <f aca="false">'Qté 2027'!P102*$C102</f>
        <v>0</v>
      </c>
      <c r="Q102" s="23" t="n">
        <f aca="false">'Qté 2027'!Q102*$C102</f>
        <v>0</v>
      </c>
      <c r="R102" s="23" t="n">
        <f aca="false">'Qté 2027'!R102*$C102</f>
        <v>0</v>
      </c>
      <c r="S102" s="23" t="n">
        <f aca="false">'Qté 2027'!S102*$C102</f>
        <v>0</v>
      </c>
      <c r="T102" s="23" t="n">
        <f aca="false">'Qté 2027'!T102*$C102</f>
        <v>0</v>
      </c>
      <c r="U102" s="23" t="n">
        <f aca="false">'Qté 2027'!U102*$C102</f>
        <v>0</v>
      </c>
      <c r="V102" s="23" t="n">
        <f aca="false">'Qté 2027'!V102*$C102</f>
        <v>0</v>
      </c>
      <c r="W102" s="23" t="n">
        <f aca="false">'Qté 2027'!W102*$C102</f>
        <v>0</v>
      </c>
      <c r="X102" s="23" t="n">
        <f aca="false">'Qté 2027'!X102*$C102</f>
        <v>2.268</v>
      </c>
      <c r="Y102" s="23" t="n">
        <f aca="false">'Qté 2027'!Y102*$C102</f>
        <v>4.536</v>
      </c>
      <c r="Z102" s="23" t="n">
        <f aca="false">'Qté 2027'!Z102*$C102</f>
        <v>2.268</v>
      </c>
      <c r="AA102" s="23" t="n">
        <f aca="false">'Qté 2027'!AA102*$C102</f>
        <v>0</v>
      </c>
      <c r="AB102" s="23" t="n">
        <f aca="false">'Qté 2027'!AB102*$C102</f>
        <v>0</v>
      </c>
      <c r="AC102" s="23" t="n">
        <f aca="false">'Qté 2027'!AC102*$C102</f>
        <v>4.536</v>
      </c>
      <c r="AD102" s="23" t="n">
        <f aca="false">'Qté 2027'!AD102*$C102</f>
        <v>9.072</v>
      </c>
      <c r="AE102" s="23" t="n">
        <f aca="false">'Qté 2027'!AE102*$C102</f>
        <v>4.536</v>
      </c>
      <c r="AF102" s="23" t="n">
        <f aca="false">'Qté 2027'!AF102*$C102</f>
        <v>2.016</v>
      </c>
      <c r="AG102" s="23" t="n">
        <f aca="false">'Qté 2027'!AG102*$C102</f>
        <v>4.284</v>
      </c>
      <c r="AH102" s="23" t="n">
        <f aca="false">'Qté 2027'!AH102*$C102</f>
        <v>2.016</v>
      </c>
      <c r="AI102" s="23" t="n">
        <f aca="false">'Qté 2027'!AI102*$C102</f>
        <v>0</v>
      </c>
      <c r="AJ102" s="23" t="n">
        <f aca="false">'Qté 2027'!AJ102*$C102</f>
        <v>0</v>
      </c>
      <c r="AK102" s="23" t="n">
        <f aca="false">'Qté 2027'!AK102*$C102</f>
        <v>0</v>
      </c>
      <c r="AL102" s="23" t="n">
        <f aca="false">'Qté 2027'!AL102*$C102</f>
        <v>0</v>
      </c>
      <c r="AM102" s="23" t="n">
        <f aca="false">'Qté 2027'!AM102*$C102</f>
        <v>0</v>
      </c>
      <c r="AN102" s="23" t="n">
        <f aca="false">'Qté 2027'!AN102*$C102</f>
        <v>0</v>
      </c>
      <c r="AO102" s="23" t="n">
        <f aca="false">'Qté 2027'!AO102*$C102</f>
        <v>0</v>
      </c>
      <c r="AP102" s="23" t="n">
        <f aca="false">'Qté 2027'!AP102*$C102</f>
        <v>0</v>
      </c>
      <c r="AQ102" s="23" t="n">
        <f aca="false">'Qté 2027'!AQ102*$C102</f>
        <v>0</v>
      </c>
      <c r="AR102" s="23" t="n">
        <f aca="false">'Qté 2027'!AR102*$C102</f>
        <v>0</v>
      </c>
      <c r="AS102" s="23" t="n">
        <f aca="false">'Qté 2027'!AS102*$C102</f>
        <v>0</v>
      </c>
      <c r="AT102" s="23" t="n">
        <f aca="false">'Qté 2027'!AT102*$C102</f>
        <v>0</v>
      </c>
      <c r="AU102" s="23" t="n">
        <f aca="false">'Qté 2027'!AU102*$C102</f>
        <v>0</v>
      </c>
      <c r="AV102" s="23" t="n">
        <f aca="false">'Qté 2027'!AV102*$C102</f>
        <v>0</v>
      </c>
      <c r="AW102" s="23" t="n">
        <f aca="false">'Qté 2027'!AW102*$C102</f>
        <v>0</v>
      </c>
      <c r="AX102" s="23" t="n">
        <f aca="false">'Qté 2027'!AX102*$C102</f>
        <v>0</v>
      </c>
      <c r="AY102" s="23" t="n">
        <f aca="false">'Qté 2027'!AY102*$C102</f>
        <v>0</v>
      </c>
      <c r="AZ102" s="23" t="n">
        <f aca="false">'Qté 2027'!AZ102*$C102</f>
        <v>0</v>
      </c>
      <c r="BA102" s="23" t="n">
        <f aca="false">'Qté 2027'!BA102*$C102</f>
        <v>0</v>
      </c>
      <c r="BB102" s="23" t="n">
        <f aca="false">'Qté 2027'!BB102*$C102</f>
        <v>0</v>
      </c>
      <c r="BC102" s="23" t="n">
        <f aca="false">'Qté 2027'!BC102*$C102</f>
        <v>0</v>
      </c>
      <c r="BD102" s="15" t="n">
        <f aca="false">SUM(D102:BC102)</f>
        <v>35.532</v>
      </c>
    </row>
    <row r="103" customFormat="false" ht="15" hidden="false" customHeight="false" outlineLevel="0" collapsed="false">
      <c r="A103" s="5" t="s">
        <v>279</v>
      </c>
      <c r="B103" s="5" t="s">
        <v>62</v>
      </c>
      <c r="C103" s="22" t="n">
        <v>15</v>
      </c>
      <c r="D103" s="23" t="n">
        <f aca="false">'Qté 2027'!D103*$C103</f>
        <v>0</v>
      </c>
      <c r="E103" s="23" t="n">
        <f aca="false">'Qté 2027'!E103*$C103</f>
        <v>0</v>
      </c>
      <c r="F103" s="23" t="n">
        <f aca="false">'Qté 2027'!F103*$C103</f>
        <v>0</v>
      </c>
      <c r="G103" s="23" t="n">
        <f aca="false">'Qté 2027'!G103*$C103</f>
        <v>0</v>
      </c>
      <c r="H103" s="23" t="n">
        <f aca="false">'Qté 2027'!H103*$C103</f>
        <v>0</v>
      </c>
      <c r="I103" s="23" t="n">
        <f aca="false">'Qté 2027'!I103*$C103</f>
        <v>0</v>
      </c>
      <c r="J103" s="23" t="n">
        <f aca="false">'Qté 2027'!J103*$C103</f>
        <v>0</v>
      </c>
      <c r="K103" s="23" t="n">
        <f aca="false">'Qté 2027'!K103*$C103</f>
        <v>0</v>
      </c>
      <c r="L103" s="23" t="n">
        <f aca="false">'Qté 2027'!L103*$C103</f>
        <v>0</v>
      </c>
      <c r="M103" s="23" t="n">
        <f aca="false">'Qté 2027'!M103*$C103</f>
        <v>0</v>
      </c>
      <c r="N103" s="23" t="n">
        <f aca="false">'Qté 2027'!N103*$C103</f>
        <v>0.9</v>
      </c>
      <c r="O103" s="23" t="n">
        <f aca="false">'Qté 2027'!O103*$C103</f>
        <v>1.65</v>
      </c>
      <c r="P103" s="23" t="n">
        <f aca="false">'Qté 2027'!P103*$C103</f>
        <v>1.65</v>
      </c>
      <c r="Q103" s="23" t="n">
        <f aca="false">'Qté 2027'!Q103*$C103</f>
        <v>1.65</v>
      </c>
      <c r="R103" s="23" t="n">
        <f aca="false">'Qté 2027'!R103*$C103</f>
        <v>0.9</v>
      </c>
      <c r="S103" s="23" t="n">
        <f aca="false">'Qté 2027'!S103*$C103</f>
        <v>0</v>
      </c>
      <c r="T103" s="23" t="n">
        <f aca="false">'Qté 2027'!T103*$C103</f>
        <v>0</v>
      </c>
      <c r="U103" s="23" t="n">
        <f aca="false">'Qté 2027'!U103*$C103</f>
        <v>1.65</v>
      </c>
      <c r="V103" s="23" t="n">
        <f aca="false">'Qté 2027'!V103*$C103</f>
        <v>3.45</v>
      </c>
      <c r="W103" s="23" t="n">
        <f aca="false">'Qté 2027'!W103*$C103</f>
        <v>1.65</v>
      </c>
      <c r="X103" s="23" t="n">
        <f aca="false">'Qté 2027'!X103*$C103</f>
        <v>0</v>
      </c>
      <c r="Y103" s="23" t="n">
        <f aca="false">'Qté 2027'!Y103*$C103</f>
        <v>0</v>
      </c>
      <c r="Z103" s="23" t="n">
        <f aca="false">'Qté 2027'!Z103*$C103</f>
        <v>0</v>
      </c>
      <c r="AA103" s="23" t="n">
        <f aca="false">'Qté 2027'!AA103*$C103</f>
        <v>0</v>
      </c>
      <c r="AB103" s="23" t="n">
        <f aca="false">'Qté 2027'!AB103*$C103</f>
        <v>0.9</v>
      </c>
      <c r="AC103" s="23" t="n">
        <f aca="false">'Qté 2027'!AC103*$C103</f>
        <v>4.2</v>
      </c>
      <c r="AD103" s="23" t="n">
        <f aca="false">'Qté 2027'!AD103*$C103</f>
        <v>6.75</v>
      </c>
      <c r="AE103" s="23" t="n">
        <f aca="false">'Qté 2027'!AE103*$C103</f>
        <v>4.2</v>
      </c>
      <c r="AF103" s="23" t="n">
        <f aca="false">'Qté 2027'!AF103*$C103</f>
        <v>0.9</v>
      </c>
      <c r="AG103" s="23" t="n">
        <f aca="false">'Qté 2027'!AG103*$C103</f>
        <v>0</v>
      </c>
      <c r="AH103" s="23" t="n">
        <f aca="false">'Qté 2027'!AH103*$C103</f>
        <v>0</v>
      </c>
      <c r="AI103" s="23" t="n">
        <f aca="false">'Qté 2027'!AI103*$C103</f>
        <v>0</v>
      </c>
      <c r="AJ103" s="23" t="n">
        <f aca="false">'Qté 2027'!AJ103*$C103</f>
        <v>0</v>
      </c>
      <c r="AK103" s="23" t="n">
        <f aca="false">'Qté 2027'!AK103*$C103</f>
        <v>0</v>
      </c>
      <c r="AL103" s="23" t="n">
        <f aca="false">'Qté 2027'!AL103*$C103</f>
        <v>0</v>
      </c>
      <c r="AM103" s="23" t="n">
        <f aca="false">'Qté 2027'!AM103*$C103</f>
        <v>1.2</v>
      </c>
      <c r="AN103" s="23" t="n">
        <f aca="false">'Qté 2027'!AN103*$C103</f>
        <v>2.55</v>
      </c>
      <c r="AO103" s="23" t="n">
        <f aca="false">'Qté 2027'!AO103*$C103</f>
        <v>1.2</v>
      </c>
      <c r="AP103" s="23" t="n">
        <f aca="false">'Qté 2027'!AP103*$C103</f>
        <v>0</v>
      </c>
      <c r="AQ103" s="23" t="n">
        <f aca="false">'Qté 2027'!AQ103*$C103</f>
        <v>0</v>
      </c>
      <c r="AR103" s="23" t="n">
        <f aca="false">'Qté 2027'!AR103*$C103</f>
        <v>0</v>
      </c>
      <c r="AS103" s="23" t="n">
        <f aca="false">'Qté 2027'!AS103*$C103</f>
        <v>0</v>
      </c>
      <c r="AT103" s="23" t="n">
        <f aca="false">'Qté 2027'!AT103*$C103</f>
        <v>0</v>
      </c>
      <c r="AU103" s="23" t="n">
        <f aca="false">'Qté 2027'!AU103*$C103</f>
        <v>0</v>
      </c>
      <c r="AV103" s="23" t="n">
        <f aca="false">'Qté 2027'!AV103*$C103</f>
        <v>0</v>
      </c>
      <c r="AW103" s="23" t="n">
        <f aca="false">'Qté 2027'!AW103*$C103</f>
        <v>0</v>
      </c>
      <c r="AX103" s="23" t="n">
        <f aca="false">'Qté 2027'!AX103*$C103</f>
        <v>0</v>
      </c>
      <c r="AY103" s="23" t="n">
        <f aca="false">'Qté 2027'!AY103*$C103</f>
        <v>0</v>
      </c>
      <c r="AZ103" s="23" t="n">
        <f aca="false">'Qté 2027'!AZ103*$C103</f>
        <v>0</v>
      </c>
      <c r="BA103" s="23" t="n">
        <f aca="false">'Qté 2027'!BA103*$C103</f>
        <v>0</v>
      </c>
      <c r="BB103" s="23" t="n">
        <f aca="false">'Qté 2027'!BB103*$C103</f>
        <v>0</v>
      </c>
      <c r="BC103" s="23" t="n">
        <f aca="false">'Qté 2027'!BC103*$C103</f>
        <v>0</v>
      </c>
      <c r="BD103" s="15" t="n">
        <f aca="false">SUM(D103:BC103)</f>
        <v>35.4</v>
      </c>
    </row>
    <row r="104" customFormat="false" ht="15" hidden="false" customHeight="false" outlineLevel="0" collapsed="false">
      <c r="A104" s="5" t="s">
        <v>280</v>
      </c>
      <c r="B104" s="5" t="s">
        <v>68</v>
      </c>
      <c r="C104" s="22" t="n">
        <v>15</v>
      </c>
      <c r="D104" s="23" t="n">
        <f aca="false">'Qté 2027'!D104*$C104</f>
        <v>0</v>
      </c>
      <c r="E104" s="23" t="n">
        <f aca="false">'Qté 2027'!E104*$C104</f>
        <v>0</v>
      </c>
      <c r="F104" s="23" t="n">
        <f aca="false">'Qté 2027'!F104*$C104</f>
        <v>0</v>
      </c>
      <c r="G104" s="23" t="n">
        <f aca="false">'Qté 2027'!G104*$C104</f>
        <v>0</v>
      </c>
      <c r="H104" s="23" t="n">
        <f aca="false">'Qté 2027'!H104*$C104</f>
        <v>0</v>
      </c>
      <c r="I104" s="23" t="n">
        <f aca="false">'Qté 2027'!I104*$C104</f>
        <v>0</v>
      </c>
      <c r="J104" s="23" t="n">
        <f aca="false">'Qté 2027'!J104*$C104</f>
        <v>0</v>
      </c>
      <c r="K104" s="23" t="n">
        <f aca="false">'Qté 2027'!K104*$C104</f>
        <v>0</v>
      </c>
      <c r="L104" s="23" t="n">
        <f aca="false">'Qté 2027'!L104*$C104</f>
        <v>0</v>
      </c>
      <c r="M104" s="23" t="n">
        <f aca="false">'Qté 2027'!M104*$C104</f>
        <v>0</v>
      </c>
      <c r="N104" s="23" t="n">
        <f aca="false">'Qté 2027'!N104*$C104</f>
        <v>0</v>
      </c>
      <c r="O104" s="23" t="n">
        <f aca="false">'Qté 2027'!O104*$C104</f>
        <v>0</v>
      </c>
      <c r="P104" s="23" t="n">
        <f aca="false">'Qté 2027'!P104*$C104</f>
        <v>0</v>
      </c>
      <c r="Q104" s="23" t="n">
        <f aca="false">'Qté 2027'!Q104*$C104</f>
        <v>0</v>
      </c>
      <c r="R104" s="23" t="n">
        <f aca="false">'Qté 2027'!R104*$C104</f>
        <v>0</v>
      </c>
      <c r="S104" s="23" t="n">
        <f aca="false">'Qté 2027'!S104*$C104</f>
        <v>0</v>
      </c>
      <c r="T104" s="23" t="n">
        <f aca="false">'Qté 2027'!T104*$C104</f>
        <v>0</v>
      </c>
      <c r="U104" s="23" t="n">
        <f aca="false">'Qté 2027'!U104*$C104</f>
        <v>0.9</v>
      </c>
      <c r="V104" s="23" t="n">
        <f aca="false">'Qté 2027'!V104*$C104</f>
        <v>2.1</v>
      </c>
      <c r="W104" s="23" t="n">
        <f aca="false">'Qté 2027'!W104*$C104</f>
        <v>1.5</v>
      </c>
      <c r="X104" s="23" t="n">
        <f aca="false">'Qté 2027'!X104*$C104</f>
        <v>0.3</v>
      </c>
      <c r="Y104" s="23" t="n">
        <f aca="false">'Qté 2027'!Y104*$C104</f>
        <v>0</v>
      </c>
      <c r="Z104" s="23" t="n">
        <f aca="false">'Qté 2027'!Z104*$C104</f>
        <v>1.2</v>
      </c>
      <c r="AA104" s="23" t="n">
        <f aca="false">'Qté 2027'!AA104*$C104</f>
        <v>2.4</v>
      </c>
      <c r="AB104" s="23" t="n">
        <f aca="false">'Qté 2027'!AB104*$C104</f>
        <v>2.1</v>
      </c>
      <c r="AC104" s="23" t="n">
        <f aca="false">'Qté 2027'!AC104*$C104</f>
        <v>1.65</v>
      </c>
      <c r="AD104" s="23" t="n">
        <f aca="false">'Qté 2027'!AD104*$C104</f>
        <v>3.6</v>
      </c>
      <c r="AE104" s="23" t="n">
        <f aca="false">'Qté 2027'!AE104*$C104</f>
        <v>5.4</v>
      </c>
      <c r="AF104" s="23" t="n">
        <f aca="false">'Qté 2027'!AF104*$C104</f>
        <v>2.7</v>
      </c>
      <c r="AG104" s="23" t="n">
        <f aca="false">'Qté 2027'!AG104*$C104</f>
        <v>2.55</v>
      </c>
      <c r="AH104" s="23" t="n">
        <f aca="false">'Qté 2027'!AH104*$C104</f>
        <v>4.95</v>
      </c>
      <c r="AI104" s="23" t="n">
        <f aca="false">'Qté 2027'!AI104*$C104</f>
        <v>2.55</v>
      </c>
      <c r="AJ104" s="23" t="n">
        <f aca="false">'Qté 2027'!AJ104*$C104</f>
        <v>0</v>
      </c>
      <c r="AK104" s="23" t="n">
        <f aca="false">'Qté 2027'!AK104*$C104</f>
        <v>0</v>
      </c>
      <c r="AL104" s="23" t="n">
        <f aca="false">'Qté 2027'!AL104*$C104</f>
        <v>0</v>
      </c>
      <c r="AM104" s="23" t="n">
        <f aca="false">'Qté 2027'!AM104*$C104</f>
        <v>0</v>
      </c>
      <c r="AN104" s="23" t="n">
        <f aca="false">'Qté 2027'!AN104*$C104</f>
        <v>0</v>
      </c>
      <c r="AO104" s="23" t="n">
        <f aca="false">'Qté 2027'!AO104*$C104</f>
        <v>0</v>
      </c>
      <c r="AP104" s="23" t="n">
        <f aca="false">'Qté 2027'!AP104*$C104</f>
        <v>0</v>
      </c>
      <c r="AQ104" s="23" t="n">
        <f aca="false">'Qté 2027'!AQ104*$C104</f>
        <v>0</v>
      </c>
      <c r="AR104" s="23" t="n">
        <f aca="false">'Qté 2027'!AR104*$C104</f>
        <v>0</v>
      </c>
      <c r="AS104" s="23" t="n">
        <f aca="false">'Qté 2027'!AS104*$C104</f>
        <v>0</v>
      </c>
      <c r="AT104" s="23" t="n">
        <f aca="false">'Qté 2027'!AT104*$C104</f>
        <v>0</v>
      </c>
      <c r="AU104" s="23" t="n">
        <f aca="false">'Qté 2027'!AU104*$C104</f>
        <v>0</v>
      </c>
      <c r="AV104" s="23" t="n">
        <f aca="false">'Qté 2027'!AV104*$C104</f>
        <v>0</v>
      </c>
      <c r="AW104" s="23" t="n">
        <f aca="false">'Qté 2027'!AW104*$C104</f>
        <v>0</v>
      </c>
      <c r="AX104" s="23" t="n">
        <f aca="false">'Qté 2027'!AX104*$C104</f>
        <v>0</v>
      </c>
      <c r="AY104" s="23" t="n">
        <f aca="false">'Qté 2027'!AY104*$C104</f>
        <v>0</v>
      </c>
      <c r="AZ104" s="23" t="n">
        <f aca="false">'Qté 2027'!AZ104*$C104</f>
        <v>0</v>
      </c>
      <c r="BA104" s="23" t="n">
        <f aca="false">'Qté 2027'!BA104*$C104</f>
        <v>0</v>
      </c>
      <c r="BB104" s="23" t="n">
        <f aca="false">'Qté 2027'!BB104*$C104</f>
        <v>0</v>
      </c>
      <c r="BC104" s="23" t="n">
        <f aca="false">'Qté 2027'!BC104*$C104</f>
        <v>0</v>
      </c>
      <c r="BD104" s="15" t="n">
        <f aca="false">SUM(D104:BC104)</f>
        <v>33.9</v>
      </c>
    </row>
    <row r="105" customFormat="false" ht="15" hidden="false" customHeight="false" outlineLevel="0" collapsed="false">
      <c r="A105" s="5" t="s">
        <v>281</v>
      </c>
      <c r="B105" s="5" t="s">
        <v>45</v>
      </c>
      <c r="C105" s="22" t="n">
        <v>6.48</v>
      </c>
      <c r="D105" s="23" t="n">
        <f aca="false">'Qté 2027'!D105*$C105</f>
        <v>0</v>
      </c>
      <c r="E105" s="23" t="n">
        <f aca="false">'Qté 2027'!E105*$C105</f>
        <v>0</v>
      </c>
      <c r="F105" s="23" t="n">
        <f aca="false">'Qté 2027'!F105*$C105</f>
        <v>0</v>
      </c>
      <c r="G105" s="23" t="n">
        <f aca="false">'Qté 2027'!G105*$C105</f>
        <v>0</v>
      </c>
      <c r="H105" s="23" t="n">
        <f aca="false">'Qté 2027'!H105*$C105</f>
        <v>0</v>
      </c>
      <c r="I105" s="23" t="n">
        <f aca="false">'Qté 2027'!I105*$C105</f>
        <v>0</v>
      </c>
      <c r="J105" s="23" t="n">
        <f aca="false">'Qté 2027'!J105*$C105</f>
        <v>0</v>
      </c>
      <c r="K105" s="23" t="n">
        <f aca="false">'Qté 2027'!K105*$C105</f>
        <v>0</v>
      </c>
      <c r="L105" s="23" t="n">
        <f aca="false">'Qté 2027'!L105*$C105</f>
        <v>0</v>
      </c>
      <c r="M105" s="23" t="n">
        <f aca="false">'Qté 2027'!M105*$C105</f>
        <v>0</v>
      </c>
      <c r="N105" s="23" t="n">
        <f aca="false">'Qté 2027'!N105*$C105</f>
        <v>0</v>
      </c>
      <c r="O105" s="23" t="n">
        <f aca="false">'Qté 2027'!O105*$C105</f>
        <v>0</v>
      </c>
      <c r="P105" s="23" t="n">
        <f aca="false">'Qté 2027'!P105*$C105</f>
        <v>0.1944</v>
      </c>
      <c r="Q105" s="23" t="n">
        <f aca="false">'Qté 2027'!Q105*$C105</f>
        <v>0.4536</v>
      </c>
      <c r="R105" s="23" t="n">
        <f aca="false">'Qté 2027'!R105*$C105</f>
        <v>0.4536</v>
      </c>
      <c r="S105" s="23" t="n">
        <f aca="false">'Qté 2027'!S105*$C105</f>
        <v>0.4536</v>
      </c>
      <c r="T105" s="23" t="n">
        <f aca="false">'Qté 2027'!T105*$C105</f>
        <v>0.5184</v>
      </c>
      <c r="U105" s="23" t="n">
        <f aca="false">'Qté 2027'!U105*$C105</f>
        <v>0.972</v>
      </c>
      <c r="V105" s="23" t="n">
        <f aca="false">'Qté 2027'!V105*$C105</f>
        <v>1.1664</v>
      </c>
      <c r="W105" s="23" t="n">
        <f aca="false">'Qté 2027'!W105*$C105</f>
        <v>0.648</v>
      </c>
      <c r="X105" s="23" t="n">
        <f aca="false">'Qté 2027'!X105*$C105</f>
        <v>1.1664</v>
      </c>
      <c r="Y105" s="23" t="n">
        <f aca="false">'Qté 2027'!Y105*$C105</f>
        <v>2.0736</v>
      </c>
      <c r="Z105" s="23" t="n">
        <f aca="false">'Qté 2027'!Z105*$C105</f>
        <v>1.1664</v>
      </c>
      <c r="AA105" s="23" t="n">
        <f aca="false">'Qté 2027'!AA105*$C105</f>
        <v>1.1016</v>
      </c>
      <c r="AB105" s="23" t="n">
        <f aca="false">'Qté 2027'!AB105*$C105</f>
        <v>2.916</v>
      </c>
      <c r="AC105" s="23" t="n">
        <f aca="false">'Qté 2027'!AC105*$C105</f>
        <v>3.7584</v>
      </c>
      <c r="AD105" s="23" t="n">
        <f aca="false">'Qté 2027'!AD105*$C105</f>
        <v>2.3328</v>
      </c>
      <c r="AE105" s="23" t="n">
        <f aca="false">'Qté 2027'!AE105*$C105</f>
        <v>1.6848</v>
      </c>
      <c r="AF105" s="23" t="n">
        <f aca="false">'Qté 2027'!AF105*$C105</f>
        <v>2.1384</v>
      </c>
      <c r="AG105" s="23" t="n">
        <f aca="false">'Qté 2027'!AG105*$C105</f>
        <v>2.3976</v>
      </c>
      <c r="AH105" s="23" t="n">
        <f aca="false">'Qté 2027'!AH105*$C105</f>
        <v>3.1104</v>
      </c>
      <c r="AI105" s="23" t="n">
        <f aca="false">'Qté 2027'!AI105*$C105</f>
        <v>2.3976</v>
      </c>
      <c r="AJ105" s="23" t="n">
        <f aca="false">'Qté 2027'!AJ105*$C105</f>
        <v>0.5184</v>
      </c>
      <c r="AK105" s="23" t="n">
        <f aca="false">'Qté 2027'!AK105*$C105</f>
        <v>0</v>
      </c>
      <c r="AL105" s="23" t="n">
        <f aca="false">'Qté 2027'!AL105*$C105</f>
        <v>0</v>
      </c>
      <c r="AM105" s="23" t="n">
        <f aca="false">'Qté 2027'!AM105*$C105</f>
        <v>0</v>
      </c>
      <c r="AN105" s="23" t="n">
        <f aca="false">'Qté 2027'!AN105*$C105</f>
        <v>0</v>
      </c>
      <c r="AO105" s="23" t="n">
        <f aca="false">'Qté 2027'!AO105*$C105</f>
        <v>0</v>
      </c>
      <c r="AP105" s="23" t="n">
        <f aca="false">'Qté 2027'!AP105*$C105</f>
        <v>0</v>
      </c>
      <c r="AQ105" s="23" t="n">
        <f aca="false">'Qté 2027'!AQ105*$C105</f>
        <v>0</v>
      </c>
      <c r="AR105" s="23" t="n">
        <f aca="false">'Qté 2027'!AR105*$C105</f>
        <v>0.1944</v>
      </c>
      <c r="AS105" s="23" t="n">
        <f aca="false">'Qté 2027'!AS105*$C105</f>
        <v>0.4536</v>
      </c>
      <c r="AT105" s="23" t="n">
        <f aca="false">'Qté 2027'!AT105*$C105</f>
        <v>0.1944</v>
      </c>
      <c r="AU105" s="23" t="n">
        <f aca="false">'Qté 2027'!AU105*$C105</f>
        <v>0</v>
      </c>
      <c r="AV105" s="23" t="n">
        <f aca="false">'Qté 2027'!AV105*$C105</f>
        <v>0</v>
      </c>
      <c r="AW105" s="23" t="n">
        <f aca="false">'Qté 2027'!AW105*$C105</f>
        <v>0</v>
      </c>
      <c r="AX105" s="23" t="n">
        <f aca="false">'Qté 2027'!AX105*$C105</f>
        <v>0</v>
      </c>
      <c r="AY105" s="23" t="n">
        <f aca="false">'Qté 2027'!AY105*$C105</f>
        <v>0</v>
      </c>
      <c r="AZ105" s="23" t="n">
        <f aca="false">'Qté 2027'!AZ105*$C105</f>
        <v>0</v>
      </c>
      <c r="BA105" s="23" t="n">
        <f aca="false">'Qté 2027'!BA105*$C105</f>
        <v>0</v>
      </c>
      <c r="BB105" s="23" t="n">
        <f aca="false">'Qté 2027'!BB105*$C105</f>
        <v>0</v>
      </c>
      <c r="BC105" s="23" t="n">
        <f aca="false">'Qté 2027'!BC105*$C105</f>
        <v>0</v>
      </c>
      <c r="BD105" s="15" t="n">
        <f aca="false">SUM(D105:BC105)</f>
        <v>32.4648</v>
      </c>
    </row>
    <row r="106" customFormat="false" ht="15" hidden="false" customHeight="false" outlineLevel="0" collapsed="false">
      <c r="A106" s="5" t="s">
        <v>282</v>
      </c>
      <c r="B106" s="5" t="s">
        <v>66</v>
      </c>
      <c r="C106" s="22" t="n">
        <v>90</v>
      </c>
      <c r="D106" s="23" t="n">
        <f aca="false">'Qté 2027'!D106*$C106</f>
        <v>0</v>
      </c>
      <c r="E106" s="23" t="n">
        <f aca="false">'Qté 2027'!E106*$C106</f>
        <v>0</v>
      </c>
      <c r="F106" s="23" t="n">
        <f aca="false">'Qté 2027'!F106*$C106</f>
        <v>0</v>
      </c>
      <c r="G106" s="23" t="n">
        <f aca="false">'Qté 2027'!G106*$C106</f>
        <v>0</v>
      </c>
      <c r="H106" s="23" t="n">
        <f aca="false">'Qté 2027'!H106*$C106</f>
        <v>0</v>
      </c>
      <c r="I106" s="23" t="n">
        <f aca="false">'Qté 2027'!I106*$C106</f>
        <v>0</v>
      </c>
      <c r="J106" s="23" t="n">
        <f aca="false">'Qté 2027'!J106*$C106</f>
        <v>0</v>
      </c>
      <c r="K106" s="23" t="n">
        <f aca="false">'Qté 2027'!K106*$C106</f>
        <v>0</v>
      </c>
      <c r="L106" s="23" t="n">
        <f aca="false">'Qté 2027'!L106*$C106</f>
        <v>0</v>
      </c>
      <c r="M106" s="23" t="n">
        <f aca="false">'Qté 2027'!M106*$C106</f>
        <v>0</v>
      </c>
      <c r="N106" s="23" t="n">
        <f aca="false">'Qté 2027'!N106*$C106</f>
        <v>0</v>
      </c>
      <c r="O106" s="23" t="n">
        <f aca="false">'Qté 2027'!O106*$C106</f>
        <v>0</v>
      </c>
      <c r="P106" s="23" t="n">
        <f aca="false">'Qté 2027'!P106*$C106</f>
        <v>0</v>
      </c>
      <c r="Q106" s="23" t="n">
        <f aca="false">'Qté 2027'!Q106*$C106</f>
        <v>0</v>
      </c>
      <c r="R106" s="23" t="n">
        <f aca="false">'Qté 2027'!R106*$C106</f>
        <v>0</v>
      </c>
      <c r="S106" s="23" t="n">
        <f aca="false">'Qté 2027'!S106*$C106</f>
        <v>0</v>
      </c>
      <c r="T106" s="23" t="n">
        <f aca="false">'Qté 2027'!T106*$C106</f>
        <v>0</v>
      </c>
      <c r="U106" s="23" t="n">
        <f aca="false">'Qté 2027'!U106*$C106</f>
        <v>0</v>
      </c>
      <c r="V106" s="23" t="n">
        <f aca="false">'Qté 2027'!V106*$C106</f>
        <v>0</v>
      </c>
      <c r="W106" s="23" t="n">
        <f aca="false">'Qté 2027'!W106*$C106</f>
        <v>0</v>
      </c>
      <c r="X106" s="23" t="n">
        <f aca="false">'Qté 2027'!X106*$C106</f>
        <v>0</v>
      </c>
      <c r="Y106" s="23" t="n">
        <f aca="false">'Qté 2027'!Y106*$C106</f>
        <v>8.1</v>
      </c>
      <c r="Z106" s="23" t="n">
        <f aca="false">'Qté 2027'!Z106*$C106</f>
        <v>16.2</v>
      </c>
      <c r="AA106" s="23" t="n">
        <f aca="false">'Qté 2027'!AA106*$C106</f>
        <v>8.1</v>
      </c>
      <c r="AB106" s="23" t="n">
        <f aca="false">'Qté 2027'!AB106*$C106</f>
        <v>0</v>
      </c>
      <c r="AC106" s="23" t="n">
        <f aca="false">'Qté 2027'!AC106*$C106</f>
        <v>0</v>
      </c>
      <c r="AD106" s="23" t="n">
        <f aca="false">'Qté 2027'!AD106*$C106</f>
        <v>0</v>
      </c>
      <c r="AE106" s="23" t="n">
        <f aca="false">'Qté 2027'!AE106*$C106</f>
        <v>0</v>
      </c>
      <c r="AF106" s="23" t="n">
        <f aca="false">'Qté 2027'!AF106*$C106</f>
        <v>0</v>
      </c>
      <c r="AG106" s="23" t="n">
        <f aca="false">'Qté 2027'!AG106*$C106</f>
        <v>0</v>
      </c>
      <c r="AH106" s="23" t="n">
        <f aca="false">'Qté 2027'!AH106*$C106</f>
        <v>0</v>
      </c>
      <c r="AI106" s="23" t="n">
        <f aca="false">'Qté 2027'!AI106*$C106</f>
        <v>0</v>
      </c>
      <c r="AJ106" s="23" t="n">
        <f aca="false">'Qté 2027'!AJ106*$C106</f>
        <v>0</v>
      </c>
      <c r="AK106" s="23" t="n">
        <f aca="false">'Qté 2027'!AK106*$C106</f>
        <v>0</v>
      </c>
      <c r="AL106" s="23" t="n">
        <f aca="false">'Qté 2027'!AL106*$C106</f>
        <v>0</v>
      </c>
      <c r="AM106" s="23" t="n">
        <f aca="false">'Qté 2027'!AM106*$C106</f>
        <v>0</v>
      </c>
      <c r="AN106" s="23" t="n">
        <f aca="false">'Qté 2027'!AN106*$C106</f>
        <v>0</v>
      </c>
      <c r="AO106" s="23" t="n">
        <f aca="false">'Qté 2027'!AO106*$C106</f>
        <v>0</v>
      </c>
      <c r="AP106" s="23" t="n">
        <f aca="false">'Qté 2027'!AP106*$C106</f>
        <v>0</v>
      </c>
      <c r="AQ106" s="23" t="n">
        <f aca="false">'Qté 2027'!AQ106*$C106</f>
        <v>0</v>
      </c>
      <c r="AR106" s="23" t="n">
        <f aca="false">'Qté 2027'!AR106*$C106</f>
        <v>0</v>
      </c>
      <c r="AS106" s="23" t="n">
        <f aca="false">'Qté 2027'!AS106*$C106</f>
        <v>0</v>
      </c>
      <c r="AT106" s="23" t="n">
        <f aca="false">'Qté 2027'!AT106*$C106</f>
        <v>0</v>
      </c>
      <c r="AU106" s="23" t="n">
        <f aca="false">'Qté 2027'!AU106*$C106</f>
        <v>0</v>
      </c>
      <c r="AV106" s="23" t="n">
        <f aca="false">'Qté 2027'!AV106*$C106</f>
        <v>0</v>
      </c>
      <c r="AW106" s="23" t="n">
        <f aca="false">'Qté 2027'!AW106*$C106</f>
        <v>0</v>
      </c>
      <c r="AX106" s="23" t="n">
        <f aca="false">'Qté 2027'!AX106*$C106</f>
        <v>0</v>
      </c>
      <c r="AY106" s="23" t="n">
        <f aca="false">'Qté 2027'!AY106*$C106</f>
        <v>0</v>
      </c>
      <c r="AZ106" s="23" t="n">
        <f aca="false">'Qté 2027'!AZ106*$C106</f>
        <v>0</v>
      </c>
      <c r="BA106" s="23" t="n">
        <f aca="false">'Qté 2027'!BA106*$C106</f>
        <v>0</v>
      </c>
      <c r="BB106" s="23" t="n">
        <f aca="false">'Qté 2027'!BB106*$C106</f>
        <v>0</v>
      </c>
      <c r="BC106" s="23" t="n">
        <f aca="false">'Qté 2027'!BC106*$C106</f>
        <v>0</v>
      </c>
      <c r="BD106" s="15" t="n">
        <f aca="false">SUM(D106:BC106)</f>
        <v>32.4</v>
      </c>
    </row>
    <row r="107" customFormat="false" ht="15" hidden="false" customHeight="false" outlineLevel="0" collapsed="false">
      <c r="A107" s="5" t="s">
        <v>283</v>
      </c>
      <c r="B107" s="5" t="s">
        <v>45</v>
      </c>
      <c r="C107" s="22" t="n">
        <v>21.08</v>
      </c>
      <c r="D107" s="23" t="n">
        <f aca="false">'Qté 2027'!D107*$C107</f>
        <v>0</v>
      </c>
      <c r="E107" s="23" t="n">
        <f aca="false">'Qté 2027'!E107*$C107</f>
        <v>0</v>
      </c>
      <c r="F107" s="23" t="n">
        <f aca="false">'Qté 2027'!F107*$C107</f>
        <v>0</v>
      </c>
      <c r="G107" s="23" t="n">
        <f aca="false">'Qté 2027'!G107*$C107</f>
        <v>0</v>
      </c>
      <c r="H107" s="23" t="n">
        <f aca="false">'Qté 2027'!H107*$C107</f>
        <v>0</v>
      </c>
      <c r="I107" s="23" t="n">
        <f aca="false">'Qté 2027'!I107*$C107</f>
        <v>0</v>
      </c>
      <c r="J107" s="23" t="n">
        <f aca="false">'Qté 2027'!J107*$C107</f>
        <v>0</v>
      </c>
      <c r="K107" s="23" t="n">
        <f aca="false">'Qté 2027'!K107*$C107</f>
        <v>0</v>
      </c>
      <c r="L107" s="23" t="n">
        <f aca="false">'Qté 2027'!L107*$C107</f>
        <v>0</v>
      </c>
      <c r="M107" s="23" t="n">
        <f aca="false">'Qté 2027'!M107*$C107</f>
        <v>0</v>
      </c>
      <c r="N107" s="23" t="n">
        <f aca="false">'Qté 2027'!N107*$C107</f>
        <v>0</v>
      </c>
      <c r="O107" s="23" t="n">
        <f aca="false">'Qté 2027'!O107*$C107</f>
        <v>0</v>
      </c>
      <c r="P107" s="23" t="n">
        <f aca="false">'Qté 2027'!P107*$C107</f>
        <v>0</v>
      </c>
      <c r="Q107" s="23" t="n">
        <f aca="false">'Qté 2027'!Q107*$C107</f>
        <v>1.054</v>
      </c>
      <c r="R107" s="23" t="n">
        <f aca="false">'Qté 2027'!R107*$C107</f>
        <v>1.8972</v>
      </c>
      <c r="S107" s="23" t="n">
        <f aca="false">'Qté 2027'!S107*$C107</f>
        <v>1.054</v>
      </c>
      <c r="T107" s="23" t="n">
        <f aca="false">'Qté 2027'!T107*$C107</f>
        <v>0</v>
      </c>
      <c r="U107" s="23" t="n">
        <f aca="false">'Qté 2027'!U107*$C107</f>
        <v>0.4216</v>
      </c>
      <c r="V107" s="23" t="n">
        <f aca="false">'Qté 2027'!V107*$C107</f>
        <v>1.6864</v>
      </c>
      <c r="W107" s="23" t="n">
        <f aca="false">'Qté 2027'!W107*$C107</f>
        <v>2.5296</v>
      </c>
      <c r="X107" s="23" t="n">
        <f aca="false">'Qté 2027'!X107*$C107</f>
        <v>2.9512</v>
      </c>
      <c r="Y107" s="23" t="n">
        <f aca="false">'Qté 2027'!Y107*$C107</f>
        <v>2.108</v>
      </c>
      <c r="Z107" s="23" t="n">
        <f aca="false">'Qté 2027'!Z107*$C107</f>
        <v>0.6324</v>
      </c>
      <c r="AA107" s="23" t="n">
        <f aca="false">'Qté 2027'!AA107*$C107</f>
        <v>0</v>
      </c>
      <c r="AB107" s="23" t="n">
        <f aca="false">'Qté 2027'!AB107*$C107</f>
        <v>1.2648</v>
      </c>
      <c r="AC107" s="23" t="n">
        <f aca="false">'Qté 2027'!AC107*$C107</f>
        <v>2.3188</v>
      </c>
      <c r="AD107" s="23" t="n">
        <f aca="false">'Qté 2027'!AD107*$C107</f>
        <v>1.2648</v>
      </c>
      <c r="AE107" s="23" t="n">
        <f aca="false">'Qté 2027'!AE107*$C107</f>
        <v>0</v>
      </c>
      <c r="AF107" s="23" t="n">
        <f aca="false">'Qté 2027'!AF107*$C107</f>
        <v>0</v>
      </c>
      <c r="AG107" s="23" t="n">
        <f aca="false">'Qté 2027'!AG107*$C107</f>
        <v>0</v>
      </c>
      <c r="AH107" s="23" t="n">
        <f aca="false">'Qté 2027'!AH107*$C107</f>
        <v>0</v>
      </c>
      <c r="AI107" s="23" t="n">
        <f aca="false">'Qté 2027'!AI107*$C107</f>
        <v>0</v>
      </c>
      <c r="AJ107" s="23" t="n">
        <f aca="false">'Qté 2027'!AJ107*$C107</f>
        <v>0</v>
      </c>
      <c r="AK107" s="23" t="n">
        <f aca="false">'Qté 2027'!AK107*$C107</f>
        <v>0</v>
      </c>
      <c r="AL107" s="23" t="n">
        <f aca="false">'Qté 2027'!AL107*$C107</f>
        <v>0</v>
      </c>
      <c r="AM107" s="23" t="n">
        <f aca="false">'Qté 2027'!AM107*$C107</f>
        <v>0</v>
      </c>
      <c r="AN107" s="23" t="n">
        <f aca="false">'Qté 2027'!AN107*$C107</f>
        <v>3.162</v>
      </c>
      <c r="AO107" s="23" t="n">
        <f aca="false">'Qté 2027'!AO107*$C107</f>
        <v>6.324</v>
      </c>
      <c r="AP107" s="23" t="n">
        <f aca="false">'Qté 2027'!AP107*$C107</f>
        <v>3.162</v>
      </c>
      <c r="AQ107" s="23" t="n">
        <f aca="false">'Qté 2027'!AQ107*$C107</f>
        <v>0</v>
      </c>
      <c r="AR107" s="23" t="n">
        <f aca="false">'Qté 2027'!AR107*$C107</f>
        <v>0</v>
      </c>
      <c r="AS107" s="23" t="n">
        <f aca="false">'Qté 2027'!AS107*$C107</f>
        <v>0</v>
      </c>
      <c r="AT107" s="23" t="n">
        <f aca="false">'Qté 2027'!AT107*$C107</f>
        <v>0</v>
      </c>
      <c r="AU107" s="23" t="n">
        <f aca="false">'Qté 2027'!AU107*$C107</f>
        <v>0</v>
      </c>
      <c r="AV107" s="23" t="n">
        <f aca="false">'Qté 2027'!AV107*$C107</f>
        <v>0</v>
      </c>
      <c r="AW107" s="23" t="n">
        <f aca="false">'Qté 2027'!AW107*$C107</f>
        <v>0</v>
      </c>
      <c r="AX107" s="23" t="n">
        <f aca="false">'Qté 2027'!AX107*$C107</f>
        <v>0</v>
      </c>
      <c r="AY107" s="23" t="n">
        <f aca="false">'Qté 2027'!AY107*$C107</f>
        <v>0</v>
      </c>
      <c r="AZ107" s="23" t="n">
        <f aca="false">'Qté 2027'!AZ107*$C107</f>
        <v>0</v>
      </c>
      <c r="BA107" s="23" t="n">
        <f aca="false">'Qté 2027'!BA107*$C107</f>
        <v>0</v>
      </c>
      <c r="BB107" s="23" t="n">
        <f aca="false">'Qté 2027'!BB107*$C107</f>
        <v>0</v>
      </c>
      <c r="BC107" s="23" t="n">
        <f aca="false">'Qté 2027'!BC107*$C107</f>
        <v>0</v>
      </c>
      <c r="BD107" s="15" t="n">
        <f aca="false">SUM(D107:BC107)</f>
        <v>31.8308</v>
      </c>
    </row>
    <row r="108" customFormat="false" ht="15" hidden="false" customHeight="false" outlineLevel="0" collapsed="false">
      <c r="A108" s="5" t="s">
        <v>284</v>
      </c>
      <c r="B108" s="5" t="s">
        <v>64</v>
      </c>
      <c r="C108" s="22" t="n">
        <v>10.37</v>
      </c>
      <c r="D108" s="23" t="n">
        <f aca="false">'Qté 2027'!D108*$C108</f>
        <v>0.3111</v>
      </c>
      <c r="E108" s="23" t="n">
        <f aca="false">'Qté 2027'!E108*$C108</f>
        <v>0.7259</v>
      </c>
      <c r="F108" s="23" t="n">
        <f aca="false">'Qté 2027'!F108*$C108</f>
        <v>0.3111</v>
      </c>
      <c r="G108" s="23" t="n">
        <f aca="false">'Qté 2027'!G108*$C108</f>
        <v>0</v>
      </c>
      <c r="H108" s="23" t="n">
        <f aca="false">'Qté 2027'!H108*$C108</f>
        <v>0</v>
      </c>
      <c r="I108" s="23" t="n">
        <f aca="false">'Qté 2027'!I108*$C108</f>
        <v>0</v>
      </c>
      <c r="J108" s="23" t="n">
        <f aca="false">'Qté 2027'!J108*$C108</f>
        <v>0</v>
      </c>
      <c r="K108" s="23" t="n">
        <f aca="false">'Qté 2027'!K108*$C108</f>
        <v>0</v>
      </c>
      <c r="L108" s="23" t="n">
        <f aca="false">'Qté 2027'!L108*$C108</f>
        <v>0</v>
      </c>
      <c r="M108" s="23" t="n">
        <f aca="false">'Qté 2027'!M108*$C108</f>
        <v>0</v>
      </c>
      <c r="N108" s="23" t="n">
        <f aca="false">'Qté 2027'!N108*$C108</f>
        <v>0</v>
      </c>
      <c r="O108" s="23" t="n">
        <f aca="false">'Qté 2027'!O108*$C108</f>
        <v>0</v>
      </c>
      <c r="P108" s="23" t="n">
        <f aca="false">'Qté 2027'!P108*$C108</f>
        <v>0</v>
      </c>
      <c r="Q108" s="23" t="n">
        <f aca="false">'Qté 2027'!Q108*$C108</f>
        <v>0</v>
      </c>
      <c r="R108" s="23" t="n">
        <f aca="false">'Qté 2027'!R108*$C108</f>
        <v>0.2074</v>
      </c>
      <c r="S108" s="23" t="n">
        <f aca="false">'Qté 2027'!S108*$C108</f>
        <v>0.5185</v>
      </c>
      <c r="T108" s="23" t="n">
        <f aca="false">'Qté 2027'!T108*$C108</f>
        <v>0.2074</v>
      </c>
      <c r="U108" s="23" t="n">
        <f aca="false">'Qté 2027'!U108*$C108</f>
        <v>0.8296</v>
      </c>
      <c r="V108" s="23" t="n">
        <f aca="false">'Qté 2027'!V108*$C108</f>
        <v>1.6592</v>
      </c>
      <c r="W108" s="23" t="n">
        <f aca="false">'Qté 2027'!W108*$C108</f>
        <v>1.1407</v>
      </c>
      <c r="X108" s="23" t="n">
        <f aca="false">'Qté 2027'!X108*$C108</f>
        <v>0.9333</v>
      </c>
      <c r="Y108" s="23" t="n">
        <f aca="false">'Qté 2027'!Y108*$C108</f>
        <v>1.1407</v>
      </c>
      <c r="Z108" s="23" t="n">
        <f aca="false">'Qté 2027'!Z108*$C108</f>
        <v>0.9333</v>
      </c>
      <c r="AA108" s="23" t="n">
        <f aca="false">'Qté 2027'!AA108*$C108</f>
        <v>0.3111</v>
      </c>
      <c r="AB108" s="23" t="n">
        <f aca="false">'Qté 2027'!AB108*$C108</f>
        <v>0</v>
      </c>
      <c r="AC108" s="23" t="n">
        <f aca="false">'Qté 2027'!AC108*$C108</f>
        <v>0.2074</v>
      </c>
      <c r="AD108" s="23" t="n">
        <f aca="false">'Qté 2027'!AD108*$C108</f>
        <v>0.5185</v>
      </c>
      <c r="AE108" s="23" t="n">
        <f aca="false">'Qté 2027'!AE108*$C108</f>
        <v>5.0813</v>
      </c>
      <c r="AF108" s="23" t="n">
        <f aca="false">'Qté 2027'!AF108*$C108</f>
        <v>9.6441</v>
      </c>
      <c r="AG108" s="23" t="n">
        <f aca="false">'Qté 2027'!AG108*$C108</f>
        <v>4.8739</v>
      </c>
      <c r="AH108" s="23" t="n">
        <f aca="false">'Qté 2027'!AH108*$C108</f>
        <v>0.3111</v>
      </c>
      <c r="AI108" s="23" t="n">
        <f aca="false">'Qté 2027'!AI108*$C108</f>
        <v>0.7259</v>
      </c>
      <c r="AJ108" s="23" t="n">
        <f aca="false">'Qté 2027'!AJ108*$C108</f>
        <v>0.3111</v>
      </c>
      <c r="AK108" s="23" t="n">
        <f aca="false">'Qté 2027'!AK108*$C108</f>
        <v>0</v>
      </c>
      <c r="AL108" s="23" t="n">
        <f aca="false">'Qté 2027'!AL108*$C108</f>
        <v>0</v>
      </c>
      <c r="AM108" s="23" t="n">
        <f aca="false">'Qté 2027'!AM108*$C108</f>
        <v>0</v>
      </c>
      <c r="AN108" s="23" t="n">
        <f aca="false">'Qté 2027'!AN108*$C108</f>
        <v>0</v>
      </c>
      <c r="AO108" s="23" t="n">
        <f aca="false">'Qté 2027'!AO108*$C108</f>
        <v>0</v>
      </c>
      <c r="AP108" s="23" t="n">
        <f aca="false">'Qté 2027'!AP108*$C108</f>
        <v>0</v>
      </c>
      <c r="AQ108" s="23" t="n">
        <f aca="false">'Qté 2027'!AQ108*$C108</f>
        <v>0</v>
      </c>
      <c r="AR108" s="23" t="n">
        <f aca="false">'Qté 2027'!AR108*$C108</f>
        <v>0</v>
      </c>
      <c r="AS108" s="23" t="n">
        <f aca="false">'Qté 2027'!AS108*$C108</f>
        <v>0</v>
      </c>
      <c r="AT108" s="23" t="n">
        <f aca="false">'Qté 2027'!AT108*$C108</f>
        <v>0</v>
      </c>
      <c r="AU108" s="23" t="n">
        <f aca="false">'Qté 2027'!AU108*$C108</f>
        <v>0</v>
      </c>
      <c r="AV108" s="23" t="n">
        <f aca="false">'Qté 2027'!AV108*$C108</f>
        <v>0</v>
      </c>
      <c r="AW108" s="23" t="n">
        <f aca="false">'Qté 2027'!AW108*$C108</f>
        <v>0</v>
      </c>
      <c r="AX108" s="23" t="n">
        <f aca="false">'Qté 2027'!AX108*$C108</f>
        <v>0</v>
      </c>
      <c r="AY108" s="23" t="n">
        <f aca="false">'Qté 2027'!AY108*$C108</f>
        <v>0</v>
      </c>
      <c r="AZ108" s="23" t="n">
        <f aca="false">'Qté 2027'!AZ108*$C108</f>
        <v>0</v>
      </c>
      <c r="BA108" s="23" t="n">
        <f aca="false">'Qté 2027'!BA108*$C108</f>
        <v>0</v>
      </c>
      <c r="BB108" s="23" t="n">
        <f aca="false">'Qté 2027'!BB108*$C108</f>
        <v>0</v>
      </c>
      <c r="BC108" s="23" t="n">
        <f aca="false">'Qté 2027'!BC108*$C108</f>
        <v>0</v>
      </c>
      <c r="BD108" s="15" t="n">
        <f aca="false">SUM(D108:BC108)</f>
        <v>30.9026</v>
      </c>
    </row>
    <row r="109" customFormat="false" ht="15" hidden="false" customHeight="false" outlineLevel="0" collapsed="false">
      <c r="A109" s="5" t="s">
        <v>285</v>
      </c>
      <c r="B109" s="5" t="s">
        <v>69</v>
      </c>
      <c r="C109" s="22" t="n">
        <v>10</v>
      </c>
      <c r="D109" s="23" t="n">
        <f aca="false">'Qté 2027'!D109*$C109</f>
        <v>0</v>
      </c>
      <c r="E109" s="23" t="n">
        <f aca="false">'Qté 2027'!E109*$C109</f>
        <v>0</v>
      </c>
      <c r="F109" s="23" t="n">
        <f aca="false">'Qté 2027'!F109*$C109</f>
        <v>0</v>
      </c>
      <c r="G109" s="23" t="n">
        <f aca="false">'Qté 2027'!G109*$C109</f>
        <v>0</v>
      </c>
      <c r="H109" s="23" t="n">
        <f aca="false">'Qté 2027'!H109*$C109</f>
        <v>0</v>
      </c>
      <c r="I109" s="23" t="n">
        <f aca="false">'Qté 2027'!I109*$C109</f>
        <v>0</v>
      </c>
      <c r="J109" s="23" t="n">
        <f aca="false">'Qté 2027'!J109*$C109</f>
        <v>0</v>
      </c>
      <c r="K109" s="23" t="n">
        <f aca="false">'Qté 2027'!K109*$C109</f>
        <v>0</v>
      </c>
      <c r="L109" s="23" t="n">
        <f aca="false">'Qté 2027'!L109*$C109</f>
        <v>0</v>
      </c>
      <c r="M109" s="23" t="n">
        <f aca="false">'Qté 2027'!M109*$C109</f>
        <v>0</v>
      </c>
      <c r="N109" s="23" t="n">
        <f aca="false">'Qté 2027'!N109*$C109</f>
        <v>0</v>
      </c>
      <c r="O109" s="23" t="n">
        <f aca="false">'Qté 2027'!O109*$C109</f>
        <v>0</v>
      </c>
      <c r="P109" s="23" t="n">
        <f aca="false">'Qté 2027'!P109*$C109</f>
        <v>0</v>
      </c>
      <c r="Q109" s="23" t="n">
        <f aca="false">'Qté 2027'!Q109*$C109</f>
        <v>0</v>
      </c>
      <c r="R109" s="23" t="n">
        <f aca="false">'Qté 2027'!R109*$C109</f>
        <v>0</v>
      </c>
      <c r="S109" s="23" t="n">
        <f aca="false">'Qté 2027'!S109*$C109</f>
        <v>0.8</v>
      </c>
      <c r="T109" s="23" t="n">
        <f aca="false">'Qté 2027'!T109*$C109</f>
        <v>1.6</v>
      </c>
      <c r="U109" s="23" t="n">
        <f aca="false">'Qté 2027'!U109*$C109</f>
        <v>0.8</v>
      </c>
      <c r="V109" s="23" t="n">
        <f aca="false">'Qté 2027'!V109*$C109</f>
        <v>0</v>
      </c>
      <c r="W109" s="23" t="n">
        <f aca="false">'Qté 2027'!W109*$C109</f>
        <v>0</v>
      </c>
      <c r="X109" s="23" t="n">
        <f aca="false">'Qté 2027'!X109*$C109</f>
        <v>0.9</v>
      </c>
      <c r="Y109" s="23" t="n">
        <f aca="false">'Qté 2027'!Y109*$C109</f>
        <v>1.8</v>
      </c>
      <c r="Z109" s="23" t="n">
        <f aca="false">'Qté 2027'!Z109*$C109</f>
        <v>0.9</v>
      </c>
      <c r="AA109" s="23" t="n">
        <f aca="false">'Qté 2027'!AA109*$C109</f>
        <v>0.9</v>
      </c>
      <c r="AB109" s="23" t="n">
        <f aca="false">'Qté 2027'!AB109*$C109</f>
        <v>2.7</v>
      </c>
      <c r="AC109" s="23" t="n">
        <f aca="false">'Qté 2027'!AC109*$C109</f>
        <v>5.1</v>
      </c>
      <c r="AD109" s="23" t="n">
        <f aca="false">'Qté 2027'!AD109*$C109</f>
        <v>5.6</v>
      </c>
      <c r="AE109" s="23" t="n">
        <f aca="false">'Qté 2027'!AE109*$C109</f>
        <v>2.4</v>
      </c>
      <c r="AF109" s="23" t="n">
        <f aca="false">'Qté 2027'!AF109*$C109</f>
        <v>0</v>
      </c>
      <c r="AG109" s="23" t="n">
        <f aca="false">'Qté 2027'!AG109*$C109</f>
        <v>0</v>
      </c>
      <c r="AH109" s="23" t="n">
        <f aca="false">'Qté 2027'!AH109*$C109</f>
        <v>1.7</v>
      </c>
      <c r="AI109" s="23" t="n">
        <f aca="false">'Qté 2027'!AI109*$C109</f>
        <v>3.3</v>
      </c>
      <c r="AJ109" s="23" t="n">
        <f aca="false">'Qté 2027'!AJ109*$C109</f>
        <v>1.7</v>
      </c>
      <c r="AK109" s="23" t="n">
        <f aca="false">'Qté 2027'!AK109*$C109</f>
        <v>0</v>
      </c>
      <c r="AL109" s="23" t="n">
        <f aca="false">'Qté 2027'!AL109*$C109</f>
        <v>0</v>
      </c>
      <c r="AM109" s="23" t="n">
        <f aca="false">'Qté 2027'!AM109*$C109</f>
        <v>0</v>
      </c>
      <c r="AN109" s="23" t="n">
        <f aca="false">'Qté 2027'!AN109*$C109</f>
        <v>0</v>
      </c>
      <c r="AO109" s="23" t="n">
        <f aca="false">'Qté 2027'!AO109*$C109</f>
        <v>0</v>
      </c>
      <c r="AP109" s="23" t="n">
        <f aca="false">'Qté 2027'!AP109*$C109</f>
        <v>0</v>
      </c>
      <c r="AQ109" s="23" t="n">
        <f aca="false">'Qté 2027'!AQ109*$C109</f>
        <v>0</v>
      </c>
      <c r="AR109" s="23" t="n">
        <f aca="false">'Qté 2027'!AR109*$C109</f>
        <v>0</v>
      </c>
      <c r="AS109" s="23" t="n">
        <f aca="false">'Qté 2027'!AS109*$C109</f>
        <v>0</v>
      </c>
      <c r="AT109" s="23" t="n">
        <f aca="false">'Qté 2027'!AT109*$C109</f>
        <v>0</v>
      </c>
      <c r="AU109" s="23" t="n">
        <f aca="false">'Qté 2027'!AU109*$C109</f>
        <v>0</v>
      </c>
      <c r="AV109" s="23" t="n">
        <f aca="false">'Qté 2027'!AV109*$C109</f>
        <v>0</v>
      </c>
      <c r="AW109" s="23" t="n">
        <f aca="false">'Qté 2027'!AW109*$C109</f>
        <v>0</v>
      </c>
      <c r="AX109" s="23" t="n">
        <f aca="false">'Qté 2027'!AX109*$C109</f>
        <v>0</v>
      </c>
      <c r="AY109" s="23" t="n">
        <f aca="false">'Qté 2027'!AY109*$C109</f>
        <v>0</v>
      </c>
      <c r="AZ109" s="23" t="n">
        <f aca="false">'Qté 2027'!AZ109*$C109</f>
        <v>0</v>
      </c>
      <c r="BA109" s="23" t="n">
        <f aca="false">'Qté 2027'!BA109*$C109</f>
        <v>0</v>
      </c>
      <c r="BB109" s="23" t="n">
        <f aca="false">'Qté 2027'!BB109*$C109</f>
        <v>0</v>
      </c>
      <c r="BC109" s="23" t="n">
        <f aca="false">'Qté 2027'!BC109*$C109</f>
        <v>0</v>
      </c>
      <c r="BD109" s="15" t="n">
        <f aca="false">SUM(D109:BC109)</f>
        <v>30.2</v>
      </c>
    </row>
    <row r="110" customFormat="false" ht="15" hidden="false" customHeight="false" outlineLevel="0" collapsed="false">
      <c r="A110" s="5" t="s">
        <v>286</v>
      </c>
      <c r="B110" s="5" t="s">
        <v>45</v>
      </c>
      <c r="C110" s="22" t="n">
        <v>82.8</v>
      </c>
      <c r="D110" s="23" t="n">
        <f aca="false">'Qté 2027'!D110*$C110</f>
        <v>0</v>
      </c>
      <c r="E110" s="23" t="n">
        <f aca="false">'Qté 2027'!E110*$C110</f>
        <v>0</v>
      </c>
      <c r="F110" s="23" t="n">
        <f aca="false">'Qté 2027'!F110*$C110</f>
        <v>0</v>
      </c>
      <c r="G110" s="23" t="n">
        <f aca="false">'Qté 2027'!G110*$C110</f>
        <v>0</v>
      </c>
      <c r="H110" s="23" t="n">
        <f aca="false">'Qté 2027'!H110*$C110</f>
        <v>0</v>
      </c>
      <c r="I110" s="23" t="n">
        <f aca="false">'Qté 2027'!I110*$C110</f>
        <v>0</v>
      </c>
      <c r="J110" s="23" t="n">
        <f aca="false">'Qté 2027'!J110*$C110</f>
        <v>0</v>
      </c>
      <c r="K110" s="23" t="n">
        <f aca="false">'Qté 2027'!K110*$C110</f>
        <v>0</v>
      </c>
      <c r="L110" s="23" t="n">
        <f aca="false">'Qté 2027'!L110*$C110</f>
        <v>0</v>
      </c>
      <c r="M110" s="23" t="n">
        <f aca="false">'Qté 2027'!M110*$C110</f>
        <v>0</v>
      </c>
      <c r="N110" s="23" t="n">
        <f aca="false">'Qté 2027'!N110*$C110</f>
        <v>0</v>
      </c>
      <c r="O110" s="23" t="n">
        <f aca="false">'Qté 2027'!O110*$C110</f>
        <v>0</v>
      </c>
      <c r="P110" s="23" t="n">
        <f aca="false">'Qté 2027'!P110*$C110</f>
        <v>0</v>
      </c>
      <c r="Q110" s="23" t="n">
        <f aca="false">'Qté 2027'!Q110*$C110</f>
        <v>0</v>
      </c>
      <c r="R110" s="23" t="n">
        <f aca="false">'Qté 2027'!R110*$C110</f>
        <v>0</v>
      </c>
      <c r="S110" s="23" t="n">
        <f aca="false">'Qté 2027'!S110*$C110</f>
        <v>0</v>
      </c>
      <c r="T110" s="23" t="n">
        <f aca="false">'Qté 2027'!T110*$C110</f>
        <v>0</v>
      </c>
      <c r="U110" s="23" t="n">
        <f aca="false">'Qté 2027'!U110*$C110</f>
        <v>0</v>
      </c>
      <c r="V110" s="23" t="n">
        <f aca="false">'Qté 2027'!V110*$C110</f>
        <v>0</v>
      </c>
      <c r="W110" s="23" t="n">
        <f aca="false">'Qté 2027'!W110*$C110</f>
        <v>0</v>
      </c>
      <c r="X110" s="23" t="n">
        <f aca="false">'Qté 2027'!X110*$C110</f>
        <v>0</v>
      </c>
      <c r="Y110" s="23" t="n">
        <f aca="false">'Qté 2027'!Y110*$C110</f>
        <v>0</v>
      </c>
      <c r="Z110" s="23" t="n">
        <f aca="false">'Qté 2027'!Z110*$C110</f>
        <v>0</v>
      </c>
      <c r="AA110" s="23" t="n">
        <f aca="false">'Qté 2027'!AA110*$C110</f>
        <v>0</v>
      </c>
      <c r="AB110" s="23" t="n">
        <f aca="false">'Qté 2027'!AB110*$C110</f>
        <v>0</v>
      </c>
      <c r="AC110" s="23" t="n">
        <f aca="false">'Qté 2027'!AC110*$C110</f>
        <v>7.452</v>
      </c>
      <c r="AD110" s="23" t="n">
        <f aca="false">'Qté 2027'!AD110*$C110</f>
        <v>14.904</v>
      </c>
      <c r="AE110" s="23" t="n">
        <f aca="false">'Qté 2027'!AE110*$C110</f>
        <v>7.452</v>
      </c>
      <c r="AF110" s="23" t="n">
        <f aca="false">'Qté 2027'!AF110*$C110</f>
        <v>0</v>
      </c>
      <c r="AG110" s="23" t="n">
        <f aca="false">'Qté 2027'!AG110*$C110</f>
        <v>0</v>
      </c>
      <c r="AH110" s="23" t="n">
        <f aca="false">'Qté 2027'!AH110*$C110</f>
        <v>0</v>
      </c>
      <c r="AI110" s="23" t="n">
        <f aca="false">'Qté 2027'!AI110*$C110</f>
        <v>0</v>
      </c>
      <c r="AJ110" s="23" t="n">
        <f aca="false">'Qté 2027'!AJ110*$C110</f>
        <v>0</v>
      </c>
      <c r="AK110" s="23" t="n">
        <f aca="false">'Qté 2027'!AK110*$C110</f>
        <v>0</v>
      </c>
      <c r="AL110" s="23" t="n">
        <f aca="false">'Qté 2027'!AL110*$C110</f>
        <v>0</v>
      </c>
      <c r="AM110" s="23" t="n">
        <f aca="false">'Qté 2027'!AM110*$C110</f>
        <v>0</v>
      </c>
      <c r="AN110" s="23" t="n">
        <f aca="false">'Qté 2027'!AN110*$C110</f>
        <v>0</v>
      </c>
      <c r="AO110" s="23" t="n">
        <f aca="false">'Qté 2027'!AO110*$C110</f>
        <v>0</v>
      </c>
      <c r="AP110" s="23" t="n">
        <f aca="false">'Qté 2027'!AP110*$C110</f>
        <v>0</v>
      </c>
      <c r="AQ110" s="23" t="n">
        <f aca="false">'Qté 2027'!AQ110*$C110</f>
        <v>0</v>
      </c>
      <c r="AR110" s="23" t="n">
        <f aca="false">'Qté 2027'!AR110*$C110</f>
        <v>0</v>
      </c>
      <c r="AS110" s="23" t="n">
        <f aca="false">'Qté 2027'!AS110*$C110</f>
        <v>0</v>
      </c>
      <c r="AT110" s="23" t="n">
        <f aca="false">'Qté 2027'!AT110*$C110</f>
        <v>0</v>
      </c>
      <c r="AU110" s="23" t="n">
        <f aca="false">'Qté 2027'!AU110*$C110</f>
        <v>0</v>
      </c>
      <c r="AV110" s="23" t="n">
        <f aca="false">'Qté 2027'!AV110*$C110</f>
        <v>0</v>
      </c>
      <c r="AW110" s="23" t="n">
        <f aca="false">'Qté 2027'!AW110*$C110</f>
        <v>0</v>
      </c>
      <c r="AX110" s="23" t="n">
        <f aca="false">'Qté 2027'!AX110*$C110</f>
        <v>0</v>
      </c>
      <c r="AY110" s="23" t="n">
        <f aca="false">'Qté 2027'!AY110*$C110</f>
        <v>0</v>
      </c>
      <c r="AZ110" s="23" t="n">
        <f aca="false">'Qté 2027'!AZ110*$C110</f>
        <v>0</v>
      </c>
      <c r="BA110" s="23" t="n">
        <f aca="false">'Qté 2027'!BA110*$C110</f>
        <v>0</v>
      </c>
      <c r="BB110" s="23" t="n">
        <f aca="false">'Qté 2027'!BB110*$C110</f>
        <v>0</v>
      </c>
      <c r="BC110" s="23" t="n">
        <f aca="false">'Qté 2027'!BC110*$C110</f>
        <v>0</v>
      </c>
      <c r="BD110" s="15" t="n">
        <f aca="false">SUM(D110:BC110)</f>
        <v>29.808</v>
      </c>
    </row>
    <row r="111" customFormat="false" ht="15" hidden="false" customHeight="false" outlineLevel="0" collapsed="false">
      <c r="A111" s="5" t="s">
        <v>287</v>
      </c>
      <c r="B111" s="5" t="s">
        <v>69</v>
      </c>
      <c r="C111" s="22" t="n">
        <v>42.6</v>
      </c>
      <c r="D111" s="23" t="n">
        <f aca="false">'Qté 2027'!D111*$C111</f>
        <v>0</v>
      </c>
      <c r="E111" s="23" t="n">
        <f aca="false">'Qté 2027'!E111*$C111</f>
        <v>0</v>
      </c>
      <c r="F111" s="23" t="n">
        <f aca="false">'Qté 2027'!F111*$C111</f>
        <v>0</v>
      </c>
      <c r="G111" s="23" t="n">
        <f aca="false">'Qté 2027'!G111*$C111</f>
        <v>0</v>
      </c>
      <c r="H111" s="23" t="n">
        <f aca="false">'Qté 2027'!H111*$C111</f>
        <v>0</v>
      </c>
      <c r="I111" s="23" t="n">
        <f aca="false">'Qté 2027'!I111*$C111</f>
        <v>0</v>
      </c>
      <c r="J111" s="23" t="n">
        <f aca="false">'Qté 2027'!J111*$C111</f>
        <v>0</v>
      </c>
      <c r="K111" s="23" t="n">
        <f aca="false">'Qté 2027'!K111*$C111</f>
        <v>0</v>
      </c>
      <c r="L111" s="23" t="n">
        <f aca="false">'Qté 2027'!L111*$C111</f>
        <v>0</v>
      </c>
      <c r="M111" s="23" t="n">
        <f aca="false">'Qté 2027'!M111*$C111</f>
        <v>0</v>
      </c>
      <c r="N111" s="23" t="n">
        <f aca="false">'Qté 2027'!N111*$C111</f>
        <v>0</v>
      </c>
      <c r="O111" s="23" t="n">
        <f aca="false">'Qté 2027'!O111*$C111</f>
        <v>0</v>
      </c>
      <c r="P111" s="23" t="n">
        <f aca="false">'Qté 2027'!P111*$C111</f>
        <v>0</v>
      </c>
      <c r="Q111" s="23" t="n">
        <f aca="false">'Qté 2027'!Q111*$C111</f>
        <v>0</v>
      </c>
      <c r="R111" s="23" t="n">
        <f aca="false">'Qté 2027'!R111*$C111</f>
        <v>0</v>
      </c>
      <c r="S111" s="23" t="n">
        <f aca="false">'Qté 2027'!S111*$C111</f>
        <v>0</v>
      </c>
      <c r="T111" s="23" t="n">
        <f aca="false">'Qté 2027'!T111*$C111</f>
        <v>0</v>
      </c>
      <c r="U111" s="23" t="n">
        <f aca="false">'Qté 2027'!U111*$C111</f>
        <v>0</v>
      </c>
      <c r="V111" s="23" t="n">
        <f aca="false">'Qté 2027'!V111*$C111</f>
        <v>0</v>
      </c>
      <c r="W111" s="23" t="n">
        <f aca="false">'Qté 2027'!W111*$C111</f>
        <v>0</v>
      </c>
      <c r="X111" s="23" t="n">
        <f aca="false">'Qté 2027'!X111*$C111</f>
        <v>0</v>
      </c>
      <c r="Y111" s="23" t="n">
        <f aca="false">'Qté 2027'!Y111*$C111</f>
        <v>0</v>
      </c>
      <c r="Z111" s="23" t="n">
        <f aca="false">'Qté 2027'!Z111*$C111</f>
        <v>0</v>
      </c>
      <c r="AA111" s="23" t="n">
        <f aca="false">'Qté 2027'!AA111*$C111</f>
        <v>0</v>
      </c>
      <c r="AB111" s="23" t="n">
        <f aca="false">'Qté 2027'!AB111*$C111</f>
        <v>0</v>
      </c>
      <c r="AC111" s="23" t="n">
        <f aca="false">'Qté 2027'!AC111*$C111</f>
        <v>0</v>
      </c>
      <c r="AD111" s="23" t="n">
        <f aca="false">'Qté 2027'!AD111*$C111</f>
        <v>0</v>
      </c>
      <c r="AE111" s="23" t="n">
        <f aca="false">'Qté 2027'!AE111*$C111</f>
        <v>0</v>
      </c>
      <c r="AF111" s="23" t="n">
        <f aca="false">'Qté 2027'!AF111*$C111</f>
        <v>0</v>
      </c>
      <c r="AG111" s="23" t="n">
        <f aca="false">'Qté 2027'!AG111*$C111</f>
        <v>0</v>
      </c>
      <c r="AH111" s="23" t="n">
        <f aca="false">'Qté 2027'!AH111*$C111</f>
        <v>0</v>
      </c>
      <c r="AI111" s="23" t="n">
        <f aca="false">'Qté 2027'!AI111*$C111</f>
        <v>7.242</v>
      </c>
      <c r="AJ111" s="23" t="n">
        <f aca="false">'Qté 2027'!AJ111*$C111</f>
        <v>14.058</v>
      </c>
      <c r="AK111" s="23" t="n">
        <f aca="false">'Qté 2027'!AK111*$C111</f>
        <v>7.242</v>
      </c>
      <c r="AL111" s="23" t="n">
        <f aca="false">'Qté 2027'!AL111*$C111</f>
        <v>0</v>
      </c>
      <c r="AM111" s="23" t="n">
        <f aca="false">'Qté 2027'!AM111*$C111</f>
        <v>0</v>
      </c>
      <c r="AN111" s="23" t="n">
        <f aca="false">'Qté 2027'!AN111*$C111</f>
        <v>0</v>
      </c>
      <c r="AO111" s="23" t="n">
        <f aca="false">'Qté 2027'!AO111*$C111</f>
        <v>0</v>
      </c>
      <c r="AP111" s="23" t="n">
        <f aca="false">'Qté 2027'!AP111*$C111</f>
        <v>0</v>
      </c>
      <c r="AQ111" s="23" t="n">
        <f aca="false">'Qté 2027'!AQ111*$C111</f>
        <v>0</v>
      </c>
      <c r="AR111" s="23" t="n">
        <f aca="false">'Qté 2027'!AR111*$C111</f>
        <v>0</v>
      </c>
      <c r="AS111" s="23" t="n">
        <f aca="false">'Qté 2027'!AS111*$C111</f>
        <v>0</v>
      </c>
      <c r="AT111" s="23" t="n">
        <f aca="false">'Qté 2027'!AT111*$C111</f>
        <v>0</v>
      </c>
      <c r="AU111" s="23" t="n">
        <f aca="false">'Qté 2027'!AU111*$C111</f>
        <v>0</v>
      </c>
      <c r="AV111" s="23" t="n">
        <f aca="false">'Qté 2027'!AV111*$C111</f>
        <v>0</v>
      </c>
      <c r="AW111" s="23" t="n">
        <f aca="false">'Qté 2027'!AW111*$C111</f>
        <v>0</v>
      </c>
      <c r="AX111" s="23" t="n">
        <f aca="false">'Qté 2027'!AX111*$C111</f>
        <v>0</v>
      </c>
      <c r="AY111" s="23" t="n">
        <f aca="false">'Qté 2027'!AY111*$C111</f>
        <v>0</v>
      </c>
      <c r="AZ111" s="23" t="n">
        <f aca="false">'Qté 2027'!AZ111*$C111</f>
        <v>0</v>
      </c>
      <c r="BA111" s="23" t="n">
        <f aca="false">'Qté 2027'!BA111*$C111</f>
        <v>0</v>
      </c>
      <c r="BB111" s="23" t="n">
        <f aca="false">'Qté 2027'!BB111*$C111</f>
        <v>0</v>
      </c>
      <c r="BC111" s="23" t="n">
        <f aca="false">'Qté 2027'!BC111*$C111</f>
        <v>0</v>
      </c>
      <c r="BD111" s="15" t="n">
        <f aca="false">SUM(D111:BC111)</f>
        <v>28.542</v>
      </c>
    </row>
    <row r="112" customFormat="false" ht="15" hidden="false" customHeight="false" outlineLevel="0" collapsed="false">
      <c r="A112" s="5" t="s">
        <v>288</v>
      </c>
      <c r="B112" s="5" t="s">
        <v>45</v>
      </c>
      <c r="C112" s="22" t="n">
        <v>19.8</v>
      </c>
      <c r="D112" s="23" t="n">
        <f aca="false">'Qté 2027'!D112*$C112</f>
        <v>0</v>
      </c>
      <c r="E112" s="23" t="n">
        <f aca="false">'Qté 2027'!E112*$C112</f>
        <v>0</v>
      </c>
      <c r="F112" s="23" t="n">
        <f aca="false">'Qté 2027'!F112*$C112</f>
        <v>0</v>
      </c>
      <c r="G112" s="23" t="n">
        <f aca="false">'Qté 2027'!G112*$C112</f>
        <v>0</v>
      </c>
      <c r="H112" s="23" t="n">
        <f aca="false">'Qté 2027'!H112*$C112</f>
        <v>0</v>
      </c>
      <c r="I112" s="23" t="n">
        <f aca="false">'Qté 2027'!I112*$C112</f>
        <v>0</v>
      </c>
      <c r="J112" s="23" t="n">
        <f aca="false">'Qté 2027'!J112*$C112</f>
        <v>0</v>
      </c>
      <c r="K112" s="23" t="n">
        <f aca="false">'Qté 2027'!K112*$C112</f>
        <v>0</v>
      </c>
      <c r="L112" s="23" t="n">
        <f aca="false">'Qté 2027'!L112*$C112</f>
        <v>0</v>
      </c>
      <c r="M112" s="23" t="n">
        <f aca="false">'Qté 2027'!M112*$C112</f>
        <v>0</v>
      </c>
      <c r="N112" s="23" t="n">
        <f aca="false">'Qté 2027'!N112*$C112</f>
        <v>0</v>
      </c>
      <c r="O112" s="23" t="n">
        <f aca="false">'Qté 2027'!O112*$C112</f>
        <v>0</v>
      </c>
      <c r="P112" s="23" t="n">
        <f aca="false">'Qté 2027'!P112*$C112</f>
        <v>0</v>
      </c>
      <c r="Q112" s="23" t="n">
        <f aca="false">'Qté 2027'!Q112*$C112</f>
        <v>0</v>
      </c>
      <c r="R112" s="23" t="n">
        <f aca="false">'Qté 2027'!R112*$C112</f>
        <v>0</v>
      </c>
      <c r="S112" s="23" t="n">
        <f aca="false">'Qté 2027'!S112*$C112</f>
        <v>1.782</v>
      </c>
      <c r="T112" s="23" t="n">
        <f aca="false">'Qté 2027'!T112*$C112</f>
        <v>3.564</v>
      </c>
      <c r="U112" s="23" t="n">
        <f aca="false">'Qté 2027'!U112*$C112</f>
        <v>3.564</v>
      </c>
      <c r="V112" s="23" t="n">
        <f aca="false">'Qté 2027'!V112*$C112</f>
        <v>3.564</v>
      </c>
      <c r="W112" s="23" t="n">
        <f aca="false">'Qté 2027'!W112*$C112</f>
        <v>1.782</v>
      </c>
      <c r="X112" s="23" t="n">
        <f aca="false">'Qté 2027'!X112*$C112</f>
        <v>0</v>
      </c>
      <c r="Y112" s="23" t="n">
        <f aca="false">'Qté 2027'!Y112*$C112</f>
        <v>0</v>
      </c>
      <c r="Z112" s="23" t="n">
        <f aca="false">'Qté 2027'!Z112*$C112</f>
        <v>0</v>
      </c>
      <c r="AA112" s="23" t="n">
        <f aca="false">'Qté 2027'!AA112*$C112</f>
        <v>0</v>
      </c>
      <c r="AB112" s="23" t="n">
        <f aca="false">'Qté 2027'!AB112*$C112</f>
        <v>1.782</v>
      </c>
      <c r="AC112" s="23" t="n">
        <f aca="false">'Qté 2027'!AC112*$C112</f>
        <v>5.346</v>
      </c>
      <c r="AD112" s="23" t="n">
        <f aca="false">'Qté 2027'!AD112*$C112</f>
        <v>5.346</v>
      </c>
      <c r="AE112" s="23" t="n">
        <f aca="false">'Qté 2027'!AE112*$C112</f>
        <v>1.782</v>
      </c>
      <c r="AF112" s="23" t="n">
        <f aca="false">'Qté 2027'!AF112*$C112</f>
        <v>0</v>
      </c>
      <c r="AG112" s="23" t="n">
        <f aca="false">'Qté 2027'!AG112*$C112</f>
        <v>0</v>
      </c>
      <c r="AH112" s="23" t="n">
        <f aca="false">'Qté 2027'!AH112*$C112</f>
        <v>0</v>
      </c>
      <c r="AI112" s="23" t="n">
        <f aca="false">'Qté 2027'!AI112*$C112</f>
        <v>0</v>
      </c>
      <c r="AJ112" s="23" t="n">
        <f aca="false">'Qté 2027'!AJ112*$C112</f>
        <v>0</v>
      </c>
      <c r="AK112" s="23" t="n">
        <f aca="false">'Qté 2027'!AK112*$C112</f>
        <v>0</v>
      </c>
      <c r="AL112" s="23" t="n">
        <f aca="false">'Qté 2027'!AL112*$C112</f>
        <v>0</v>
      </c>
      <c r="AM112" s="23" t="n">
        <f aca="false">'Qté 2027'!AM112*$C112</f>
        <v>0</v>
      </c>
      <c r="AN112" s="23" t="n">
        <f aca="false">'Qté 2027'!AN112*$C112</f>
        <v>0</v>
      </c>
      <c r="AO112" s="23" t="n">
        <f aca="false">'Qté 2027'!AO112*$C112</f>
        <v>0</v>
      </c>
      <c r="AP112" s="23" t="n">
        <f aca="false">'Qté 2027'!AP112*$C112</f>
        <v>0</v>
      </c>
      <c r="AQ112" s="23" t="n">
        <f aca="false">'Qté 2027'!AQ112*$C112</f>
        <v>0</v>
      </c>
      <c r="AR112" s="23" t="n">
        <f aca="false">'Qté 2027'!AR112*$C112</f>
        <v>0</v>
      </c>
      <c r="AS112" s="23" t="n">
        <f aca="false">'Qté 2027'!AS112*$C112</f>
        <v>0</v>
      </c>
      <c r="AT112" s="23" t="n">
        <f aca="false">'Qté 2027'!AT112*$C112</f>
        <v>0</v>
      </c>
      <c r="AU112" s="23" t="n">
        <f aca="false">'Qté 2027'!AU112*$C112</f>
        <v>0</v>
      </c>
      <c r="AV112" s="23" t="n">
        <f aca="false">'Qté 2027'!AV112*$C112</f>
        <v>0</v>
      </c>
      <c r="AW112" s="23" t="n">
        <f aca="false">'Qté 2027'!AW112*$C112</f>
        <v>0</v>
      </c>
      <c r="AX112" s="23" t="n">
        <f aca="false">'Qté 2027'!AX112*$C112</f>
        <v>0</v>
      </c>
      <c r="AY112" s="23" t="n">
        <f aca="false">'Qté 2027'!AY112*$C112</f>
        <v>0</v>
      </c>
      <c r="AZ112" s="23" t="n">
        <f aca="false">'Qté 2027'!AZ112*$C112</f>
        <v>0</v>
      </c>
      <c r="BA112" s="23" t="n">
        <f aca="false">'Qté 2027'!BA112*$C112</f>
        <v>0</v>
      </c>
      <c r="BB112" s="23" t="n">
        <f aca="false">'Qté 2027'!BB112*$C112</f>
        <v>0</v>
      </c>
      <c r="BC112" s="23" t="n">
        <f aca="false">'Qté 2027'!BC112*$C112</f>
        <v>0</v>
      </c>
      <c r="BD112" s="15" t="n">
        <f aca="false">SUM(D112:BC112)</f>
        <v>28.512</v>
      </c>
    </row>
    <row r="113" customFormat="false" ht="15" hidden="false" customHeight="false" outlineLevel="0" collapsed="false">
      <c r="A113" s="5" t="s">
        <v>289</v>
      </c>
      <c r="B113" s="5" t="s">
        <v>45</v>
      </c>
      <c r="C113" s="22" t="n">
        <v>15</v>
      </c>
      <c r="D113" s="23" t="n">
        <f aca="false">'Qté 2027'!D113*$C113</f>
        <v>0</v>
      </c>
      <c r="E113" s="23" t="n">
        <f aca="false">'Qté 2027'!E113*$C113</f>
        <v>0</v>
      </c>
      <c r="F113" s="23" t="n">
        <f aca="false">'Qté 2027'!F113*$C113</f>
        <v>0</v>
      </c>
      <c r="G113" s="23" t="n">
        <f aca="false">'Qté 2027'!G113*$C113</f>
        <v>0</v>
      </c>
      <c r="H113" s="23" t="n">
        <f aca="false">'Qté 2027'!H113*$C113</f>
        <v>0</v>
      </c>
      <c r="I113" s="23" t="n">
        <f aca="false">'Qté 2027'!I113*$C113</f>
        <v>0</v>
      </c>
      <c r="J113" s="23" t="n">
        <f aca="false">'Qté 2027'!J113*$C113</f>
        <v>0</v>
      </c>
      <c r="K113" s="23" t="n">
        <f aca="false">'Qté 2027'!K113*$C113</f>
        <v>0</v>
      </c>
      <c r="L113" s="23" t="n">
        <f aca="false">'Qté 2027'!L113*$C113</f>
        <v>0</v>
      </c>
      <c r="M113" s="23" t="n">
        <f aca="false">'Qté 2027'!M113*$C113</f>
        <v>0</v>
      </c>
      <c r="N113" s="23" t="n">
        <f aca="false">'Qté 2027'!N113*$C113</f>
        <v>0</v>
      </c>
      <c r="O113" s="23" t="n">
        <f aca="false">'Qté 2027'!O113*$C113</f>
        <v>0</v>
      </c>
      <c r="P113" s="23" t="n">
        <f aca="false">'Qté 2027'!P113*$C113</f>
        <v>0</v>
      </c>
      <c r="Q113" s="23" t="n">
        <f aca="false">'Qté 2027'!Q113*$C113</f>
        <v>0</v>
      </c>
      <c r="R113" s="23" t="n">
        <f aca="false">'Qté 2027'!R113*$C113</f>
        <v>0</v>
      </c>
      <c r="S113" s="23" t="n">
        <f aca="false">'Qté 2027'!S113*$C113</f>
        <v>0</v>
      </c>
      <c r="T113" s="23" t="n">
        <f aca="false">'Qté 2027'!T113*$C113</f>
        <v>1.35</v>
      </c>
      <c r="U113" s="23" t="n">
        <f aca="false">'Qté 2027'!U113*$C113</f>
        <v>2.7</v>
      </c>
      <c r="V113" s="23" t="n">
        <f aca="false">'Qté 2027'!V113*$C113</f>
        <v>1.35</v>
      </c>
      <c r="W113" s="23" t="n">
        <f aca="false">'Qté 2027'!W113*$C113</f>
        <v>0.9</v>
      </c>
      <c r="X113" s="23" t="n">
        <f aca="false">'Qté 2027'!X113*$C113</f>
        <v>3</v>
      </c>
      <c r="Y113" s="23" t="n">
        <f aca="false">'Qté 2027'!Y113*$C113</f>
        <v>3.6</v>
      </c>
      <c r="Z113" s="23" t="n">
        <f aca="false">'Qté 2027'!Z113*$C113</f>
        <v>1.35</v>
      </c>
      <c r="AA113" s="23" t="n">
        <f aca="false">'Qté 2027'!AA113*$C113</f>
        <v>1.35</v>
      </c>
      <c r="AB113" s="23" t="n">
        <f aca="false">'Qté 2027'!AB113*$C113</f>
        <v>4.05</v>
      </c>
      <c r="AC113" s="23" t="n">
        <f aca="false">'Qté 2027'!AC113*$C113</f>
        <v>4.65</v>
      </c>
      <c r="AD113" s="23" t="n">
        <f aca="false">'Qté 2027'!AD113*$C113</f>
        <v>2.4</v>
      </c>
      <c r="AE113" s="23" t="n">
        <f aca="false">'Qté 2027'!AE113*$C113</f>
        <v>0.45</v>
      </c>
      <c r="AF113" s="23" t="n">
        <f aca="false">'Qté 2027'!AF113*$C113</f>
        <v>0</v>
      </c>
      <c r="AG113" s="23" t="n">
        <f aca="false">'Qté 2027'!AG113*$C113</f>
        <v>0</v>
      </c>
      <c r="AH113" s="23" t="n">
        <f aca="false">'Qté 2027'!AH113*$C113</f>
        <v>0</v>
      </c>
      <c r="AI113" s="23" t="n">
        <f aca="false">'Qté 2027'!AI113*$C113</f>
        <v>0</v>
      </c>
      <c r="AJ113" s="23" t="n">
        <f aca="false">'Qté 2027'!AJ113*$C113</f>
        <v>0</v>
      </c>
      <c r="AK113" s="23" t="n">
        <f aca="false">'Qté 2027'!AK113*$C113</f>
        <v>0</v>
      </c>
      <c r="AL113" s="23" t="n">
        <f aca="false">'Qté 2027'!AL113*$C113</f>
        <v>0</v>
      </c>
      <c r="AM113" s="23" t="n">
        <f aca="false">'Qté 2027'!AM113*$C113</f>
        <v>0</v>
      </c>
      <c r="AN113" s="23" t="n">
        <f aca="false">'Qté 2027'!AN113*$C113</f>
        <v>0</v>
      </c>
      <c r="AO113" s="23" t="n">
        <f aca="false">'Qté 2027'!AO113*$C113</f>
        <v>0</v>
      </c>
      <c r="AP113" s="23" t="n">
        <f aca="false">'Qté 2027'!AP113*$C113</f>
        <v>0</v>
      </c>
      <c r="AQ113" s="23" t="n">
        <f aca="false">'Qté 2027'!AQ113*$C113</f>
        <v>0</v>
      </c>
      <c r="AR113" s="23" t="n">
        <f aca="false">'Qté 2027'!AR113*$C113</f>
        <v>0</v>
      </c>
      <c r="AS113" s="23" t="n">
        <f aca="false">'Qté 2027'!AS113*$C113</f>
        <v>0</v>
      </c>
      <c r="AT113" s="23" t="n">
        <f aca="false">'Qté 2027'!AT113*$C113</f>
        <v>0</v>
      </c>
      <c r="AU113" s="23" t="n">
        <f aca="false">'Qté 2027'!AU113*$C113</f>
        <v>0</v>
      </c>
      <c r="AV113" s="23" t="n">
        <f aca="false">'Qté 2027'!AV113*$C113</f>
        <v>0</v>
      </c>
      <c r="AW113" s="23" t="n">
        <f aca="false">'Qté 2027'!AW113*$C113</f>
        <v>0</v>
      </c>
      <c r="AX113" s="23" t="n">
        <f aca="false">'Qté 2027'!AX113*$C113</f>
        <v>0</v>
      </c>
      <c r="AY113" s="23" t="n">
        <f aca="false">'Qté 2027'!AY113*$C113</f>
        <v>0</v>
      </c>
      <c r="AZ113" s="23" t="n">
        <f aca="false">'Qté 2027'!AZ113*$C113</f>
        <v>0</v>
      </c>
      <c r="BA113" s="23" t="n">
        <f aca="false">'Qté 2027'!BA113*$C113</f>
        <v>0</v>
      </c>
      <c r="BB113" s="23" t="n">
        <f aca="false">'Qté 2027'!BB113*$C113</f>
        <v>0</v>
      </c>
      <c r="BC113" s="23" t="n">
        <f aca="false">'Qté 2027'!BC113*$C113</f>
        <v>0</v>
      </c>
      <c r="BD113" s="15" t="n">
        <f aca="false">SUM(D113:BC113)</f>
        <v>27.15</v>
      </c>
    </row>
    <row r="114" customFormat="false" ht="15" hidden="false" customHeight="false" outlineLevel="0" collapsed="false">
      <c r="A114" s="5" t="s">
        <v>290</v>
      </c>
      <c r="B114" s="5" t="s">
        <v>62</v>
      </c>
      <c r="C114" s="22" t="n">
        <v>15</v>
      </c>
      <c r="D114" s="23" t="n">
        <f aca="false">'Qté 2027'!D114*$C114</f>
        <v>0</v>
      </c>
      <c r="E114" s="23" t="n">
        <f aca="false">'Qté 2027'!E114*$C114</f>
        <v>0</v>
      </c>
      <c r="F114" s="23" t="n">
        <f aca="false">'Qté 2027'!F114*$C114</f>
        <v>0</v>
      </c>
      <c r="G114" s="23" t="n">
        <f aca="false">'Qté 2027'!G114*$C114</f>
        <v>0</v>
      </c>
      <c r="H114" s="23" t="n">
        <f aca="false">'Qté 2027'!H114*$C114</f>
        <v>0</v>
      </c>
      <c r="I114" s="23" t="n">
        <f aca="false">'Qté 2027'!I114*$C114</f>
        <v>0</v>
      </c>
      <c r="J114" s="23" t="n">
        <f aca="false">'Qté 2027'!J114*$C114</f>
        <v>0</v>
      </c>
      <c r="K114" s="23" t="n">
        <f aca="false">'Qté 2027'!K114*$C114</f>
        <v>0</v>
      </c>
      <c r="L114" s="23" t="n">
        <f aca="false">'Qté 2027'!L114*$C114</f>
        <v>0</v>
      </c>
      <c r="M114" s="23" t="n">
        <f aca="false">'Qté 2027'!M114*$C114</f>
        <v>0</v>
      </c>
      <c r="N114" s="23" t="n">
        <f aca="false">'Qté 2027'!N114*$C114</f>
        <v>0</v>
      </c>
      <c r="O114" s="23" t="n">
        <f aca="false">'Qté 2027'!O114*$C114</f>
        <v>0</v>
      </c>
      <c r="P114" s="23" t="n">
        <f aca="false">'Qté 2027'!P114*$C114</f>
        <v>0</v>
      </c>
      <c r="Q114" s="23" t="n">
        <f aca="false">'Qté 2027'!Q114*$C114</f>
        <v>0</v>
      </c>
      <c r="R114" s="23" t="n">
        <f aca="false">'Qté 2027'!R114*$C114</f>
        <v>0</v>
      </c>
      <c r="S114" s="23" t="n">
        <f aca="false">'Qté 2027'!S114*$C114</f>
        <v>0</v>
      </c>
      <c r="T114" s="23" t="n">
        <f aca="false">'Qté 2027'!T114*$C114</f>
        <v>1.35</v>
      </c>
      <c r="U114" s="23" t="n">
        <f aca="false">'Qté 2027'!U114*$C114</f>
        <v>3.6</v>
      </c>
      <c r="V114" s="23" t="n">
        <f aca="false">'Qté 2027'!V114*$C114</f>
        <v>3</v>
      </c>
      <c r="W114" s="23" t="n">
        <f aca="false">'Qté 2027'!W114*$C114</f>
        <v>2.1</v>
      </c>
      <c r="X114" s="23" t="n">
        <f aca="false">'Qté 2027'!X114*$C114</f>
        <v>2.4</v>
      </c>
      <c r="Y114" s="23" t="n">
        <f aca="false">'Qté 2027'!Y114*$C114</f>
        <v>1.2</v>
      </c>
      <c r="Z114" s="23" t="n">
        <f aca="false">'Qté 2027'!Z114*$C114</f>
        <v>1.2</v>
      </c>
      <c r="AA114" s="23" t="n">
        <f aca="false">'Qté 2027'!AA114*$C114</f>
        <v>2.4</v>
      </c>
      <c r="AB114" s="23" t="n">
        <f aca="false">'Qté 2027'!AB114*$C114</f>
        <v>1.2</v>
      </c>
      <c r="AC114" s="23" t="n">
        <f aca="false">'Qté 2027'!AC114*$C114</f>
        <v>0</v>
      </c>
      <c r="AD114" s="23" t="n">
        <f aca="false">'Qté 2027'!AD114*$C114</f>
        <v>0.9</v>
      </c>
      <c r="AE114" s="23" t="n">
        <f aca="false">'Qté 2027'!AE114*$C114</f>
        <v>1.65</v>
      </c>
      <c r="AF114" s="23" t="n">
        <f aca="false">'Qté 2027'!AF114*$C114</f>
        <v>0.9</v>
      </c>
      <c r="AG114" s="23" t="n">
        <f aca="false">'Qté 2027'!AG114*$C114</f>
        <v>0</v>
      </c>
      <c r="AH114" s="23" t="n">
        <f aca="false">'Qté 2027'!AH114*$C114</f>
        <v>0</v>
      </c>
      <c r="AI114" s="23" t="n">
        <f aca="false">'Qté 2027'!AI114*$C114</f>
        <v>0</v>
      </c>
      <c r="AJ114" s="23" t="n">
        <f aca="false">'Qté 2027'!AJ114*$C114</f>
        <v>0</v>
      </c>
      <c r="AK114" s="23" t="n">
        <f aca="false">'Qté 2027'!AK114*$C114</f>
        <v>0</v>
      </c>
      <c r="AL114" s="23" t="n">
        <f aca="false">'Qté 2027'!AL114*$C114</f>
        <v>1.2</v>
      </c>
      <c r="AM114" s="23" t="n">
        <f aca="false">'Qté 2027'!AM114*$C114</f>
        <v>2.55</v>
      </c>
      <c r="AN114" s="23" t="n">
        <f aca="false">'Qté 2027'!AN114*$C114</f>
        <v>1.2</v>
      </c>
      <c r="AO114" s="23" t="n">
        <f aca="false">'Qté 2027'!AO114*$C114</f>
        <v>0</v>
      </c>
      <c r="AP114" s="23" t="n">
        <f aca="false">'Qté 2027'!AP114*$C114</f>
        <v>0</v>
      </c>
      <c r="AQ114" s="23" t="n">
        <f aca="false">'Qté 2027'!AQ114*$C114</f>
        <v>0</v>
      </c>
      <c r="AR114" s="23" t="n">
        <f aca="false">'Qté 2027'!AR114*$C114</f>
        <v>0</v>
      </c>
      <c r="AS114" s="23" t="n">
        <f aca="false">'Qté 2027'!AS114*$C114</f>
        <v>0</v>
      </c>
      <c r="AT114" s="23" t="n">
        <f aca="false">'Qté 2027'!AT114*$C114</f>
        <v>0</v>
      </c>
      <c r="AU114" s="23" t="n">
        <f aca="false">'Qté 2027'!AU114*$C114</f>
        <v>0</v>
      </c>
      <c r="AV114" s="23" t="n">
        <f aca="false">'Qté 2027'!AV114*$C114</f>
        <v>0</v>
      </c>
      <c r="AW114" s="23" t="n">
        <f aca="false">'Qté 2027'!AW114*$C114</f>
        <v>0</v>
      </c>
      <c r="AX114" s="23" t="n">
        <f aca="false">'Qté 2027'!AX114*$C114</f>
        <v>0</v>
      </c>
      <c r="AY114" s="23" t="n">
        <f aca="false">'Qté 2027'!AY114*$C114</f>
        <v>0</v>
      </c>
      <c r="AZ114" s="23" t="n">
        <f aca="false">'Qté 2027'!AZ114*$C114</f>
        <v>0</v>
      </c>
      <c r="BA114" s="23" t="n">
        <f aca="false">'Qté 2027'!BA114*$C114</f>
        <v>0</v>
      </c>
      <c r="BB114" s="23" t="n">
        <f aca="false">'Qté 2027'!BB114*$C114</f>
        <v>0</v>
      </c>
      <c r="BC114" s="23" t="n">
        <f aca="false">'Qté 2027'!BC114*$C114</f>
        <v>0</v>
      </c>
      <c r="BD114" s="15" t="n">
        <f aca="false">SUM(D114:BC114)</f>
        <v>26.85</v>
      </c>
    </row>
    <row r="115" customFormat="false" ht="15" hidden="false" customHeight="false" outlineLevel="0" collapsed="false">
      <c r="A115" s="5" t="s">
        <v>291</v>
      </c>
      <c r="B115" s="5" t="s">
        <v>63</v>
      </c>
      <c r="C115" s="22" t="n">
        <v>24</v>
      </c>
      <c r="D115" s="23" t="n">
        <f aca="false">'Qté 2027'!D115*$C115</f>
        <v>0</v>
      </c>
      <c r="E115" s="23" t="n">
        <f aca="false">'Qté 2027'!E115*$C115</f>
        <v>0</v>
      </c>
      <c r="F115" s="23" t="n">
        <f aca="false">'Qté 2027'!F115*$C115</f>
        <v>0</v>
      </c>
      <c r="G115" s="23" t="n">
        <f aca="false">'Qté 2027'!G115*$C115</f>
        <v>0</v>
      </c>
      <c r="H115" s="23" t="n">
        <f aca="false">'Qté 2027'!H115*$C115</f>
        <v>0</v>
      </c>
      <c r="I115" s="23" t="n">
        <f aca="false">'Qté 2027'!I115*$C115</f>
        <v>0</v>
      </c>
      <c r="J115" s="23" t="n">
        <f aca="false">'Qté 2027'!J115*$C115</f>
        <v>0</v>
      </c>
      <c r="K115" s="23" t="n">
        <f aca="false">'Qté 2027'!K115*$C115</f>
        <v>0</v>
      </c>
      <c r="L115" s="23" t="n">
        <f aca="false">'Qté 2027'!L115*$C115</f>
        <v>0</v>
      </c>
      <c r="M115" s="23" t="n">
        <f aca="false">'Qté 2027'!M115*$C115</f>
        <v>0</v>
      </c>
      <c r="N115" s="23" t="n">
        <f aca="false">'Qté 2027'!N115*$C115</f>
        <v>0</v>
      </c>
      <c r="O115" s="23" t="n">
        <f aca="false">'Qté 2027'!O115*$C115</f>
        <v>0</v>
      </c>
      <c r="P115" s="23" t="n">
        <f aca="false">'Qté 2027'!P115*$C115</f>
        <v>0</v>
      </c>
      <c r="Q115" s="23" t="n">
        <f aca="false">'Qté 2027'!Q115*$C115</f>
        <v>1.44</v>
      </c>
      <c r="R115" s="23" t="n">
        <f aca="false">'Qté 2027'!R115*$C115</f>
        <v>2.64</v>
      </c>
      <c r="S115" s="23" t="n">
        <f aca="false">'Qté 2027'!S115*$C115</f>
        <v>1.44</v>
      </c>
      <c r="T115" s="23" t="n">
        <f aca="false">'Qté 2027'!T115*$C115</f>
        <v>0</v>
      </c>
      <c r="U115" s="23" t="n">
        <f aca="false">'Qté 2027'!U115*$C115</f>
        <v>0</v>
      </c>
      <c r="V115" s="23" t="n">
        <f aca="false">'Qté 2027'!V115*$C115</f>
        <v>0</v>
      </c>
      <c r="W115" s="23" t="n">
        <f aca="false">'Qté 2027'!W115*$C115</f>
        <v>0</v>
      </c>
      <c r="X115" s="23" t="n">
        <f aca="false">'Qté 2027'!X115*$C115</f>
        <v>0</v>
      </c>
      <c r="Y115" s="23" t="n">
        <f aca="false">'Qté 2027'!Y115*$C115</f>
        <v>1.44</v>
      </c>
      <c r="Z115" s="23" t="n">
        <f aca="false">'Qté 2027'!Z115*$C115</f>
        <v>2.64</v>
      </c>
      <c r="AA115" s="23" t="n">
        <f aca="false">'Qté 2027'!AA115*$C115</f>
        <v>1.44</v>
      </c>
      <c r="AB115" s="23" t="n">
        <f aca="false">'Qté 2027'!AB115*$C115</f>
        <v>1.92</v>
      </c>
      <c r="AC115" s="23" t="n">
        <f aca="false">'Qté 2027'!AC115*$C115</f>
        <v>3.84</v>
      </c>
      <c r="AD115" s="23" t="n">
        <f aca="false">'Qté 2027'!AD115*$C115</f>
        <v>1.92</v>
      </c>
      <c r="AE115" s="23" t="n">
        <f aca="false">'Qté 2027'!AE115*$C115</f>
        <v>0</v>
      </c>
      <c r="AF115" s="23" t="n">
        <f aca="false">'Qté 2027'!AF115*$C115</f>
        <v>0</v>
      </c>
      <c r="AG115" s="23" t="n">
        <f aca="false">'Qté 2027'!AG115*$C115</f>
        <v>0</v>
      </c>
      <c r="AH115" s="23" t="n">
        <f aca="false">'Qté 2027'!AH115*$C115</f>
        <v>0</v>
      </c>
      <c r="AI115" s="23" t="n">
        <f aca="false">'Qté 2027'!AI115*$C115</f>
        <v>0</v>
      </c>
      <c r="AJ115" s="23" t="n">
        <f aca="false">'Qté 2027'!AJ115*$C115</f>
        <v>0</v>
      </c>
      <c r="AK115" s="23" t="n">
        <f aca="false">'Qté 2027'!AK115*$C115</f>
        <v>0</v>
      </c>
      <c r="AL115" s="23" t="n">
        <f aca="false">'Qté 2027'!AL115*$C115</f>
        <v>1.92</v>
      </c>
      <c r="AM115" s="23" t="n">
        <f aca="false">'Qté 2027'!AM115*$C115</f>
        <v>4.08</v>
      </c>
      <c r="AN115" s="23" t="n">
        <f aca="false">'Qté 2027'!AN115*$C115</f>
        <v>1.92</v>
      </c>
      <c r="AO115" s="23" t="n">
        <f aca="false">'Qté 2027'!AO115*$C115</f>
        <v>0</v>
      </c>
      <c r="AP115" s="23" t="n">
        <f aca="false">'Qté 2027'!AP115*$C115</f>
        <v>0</v>
      </c>
      <c r="AQ115" s="23" t="n">
        <f aca="false">'Qté 2027'!AQ115*$C115</f>
        <v>0</v>
      </c>
      <c r="AR115" s="23" t="n">
        <f aca="false">'Qté 2027'!AR115*$C115</f>
        <v>0</v>
      </c>
      <c r="AS115" s="23" t="n">
        <f aca="false">'Qté 2027'!AS115*$C115</f>
        <v>0</v>
      </c>
      <c r="AT115" s="23" t="n">
        <f aca="false">'Qté 2027'!AT115*$C115</f>
        <v>0</v>
      </c>
      <c r="AU115" s="23" t="n">
        <f aca="false">'Qté 2027'!AU115*$C115</f>
        <v>0</v>
      </c>
      <c r="AV115" s="23" t="n">
        <f aca="false">'Qté 2027'!AV115*$C115</f>
        <v>0</v>
      </c>
      <c r="AW115" s="23" t="n">
        <f aca="false">'Qté 2027'!AW115*$C115</f>
        <v>0</v>
      </c>
      <c r="AX115" s="23" t="n">
        <f aca="false">'Qté 2027'!AX115*$C115</f>
        <v>0</v>
      </c>
      <c r="AY115" s="23" t="n">
        <f aca="false">'Qté 2027'!AY115*$C115</f>
        <v>0</v>
      </c>
      <c r="AZ115" s="23" t="n">
        <f aca="false">'Qté 2027'!AZ115*$C115</f>
        <v>0</v>
      </c>
      <c r="BA115" s="23" t="n">
        <f aca="false">'Qté 2027'!BA115*$C115</f>
        <v>0</v>
      </c>
      <c r="BB115" s="23" t="n">
        <f aca="false">'Qté 2027'!BB115*$C115</f>
        <v>0</v>
      </c>
      <c r="BC115" s="23" t="n">
        <f aca="false">'Qté 2027'!BC115*$C115</f>
        <v>0</v>
      </c>
      <c r="BD115" s="15" t="n">
        <f aca="false">SUM(D115:BC115)</f>
        <v>26.64</v>
      </c>
    </row>
    <row r="116" customFormat="false" ht="15" hidden="false" customHeight="false" outlineLevel="0" collapsed="false">
      <c r="A116" s="5" t="s">
        <v>292</v>
      </c>
      <c r="B116" s="5" t="s">
        <v>45</v>
      </c>
      <c r="C116" s="22" t="n">
        <v>22.8</v>
      </c>
      <c r="D116" s="23" t="n">
        <f aca="false">'Qté 2027'!D116*$C116</f>
        <v>0</v>
      </c>
      <c r="E116" s="23" t="n">
        <f aca="false">'Qté 2027'!E116*$C116</f>
        <v>0</v>
      </c>
      <c r="F116" s="23" t="n">
        <f aca="false">'Qté 2027'!F116*$C116</f>
        <v>0</v>
      </c>
      <c r="G116" s="23" t="n">
        <f aca="false">'Qté 2027'!G116*$C116</f>
        <v>0</v>
      </c>
      <c r="H116" s="23" t="n">
        <f aca="false">'Qté 2027'!H116*$C116</f>
        <v>0</v>
      </c>
      <c r="I116" s="23" t="n">
        <f aca="false">'Qté 2027'!I116*$C116</f>
        <v>0</v>
      </c>
      <c r="J116" s="23" t="n">
        <f aca="false">'Qté 2027'!J116*$C116</f>
        <v>0</v>
      </c>
      <c r="K116" s="23" t="n">
        <f aca="false">'Qté 2027'!K116*$C116</f>
        <v>0</v>
      </c>
      <c r="L116" s="23" t="n">
        <f aca="false">'Qté 2027'!L116*$C116</f>
        <v>0</v>
      </c>
      <c r="M116" s="23" t="n">
        <f aca="false">'Qté 2027'!M116*$C116</f>
        <v>0</v>
      </c>
      <c r="N116" s="23" t="n">
        <f aca="false">'Qté 2027'!N116*$C116</f>
        <v>0</v>
      </c>
      <c r="O116" s="23" t="n">
        <f aca="false">'Qté 2027'!O116*$C116</f>
        <v>0</v>
      </c>
      <c r="P116" s="23" t="n">
        <f aca="false">'Qté 2027'!P116*$C116</f>
        <v>0</v>
      </c>
      <c r="Q116" s="23" t="n">
        <f aca="false">'Qté 2027'!Q116*$C116</f>
        <v>0</v>
      </c>
      <c r="R116" s="23" t="n">
        <f aca="false">'Qté 2027'!R116*$C116</f>
        <v>1.368</v>
      </c>
      <c r="S116" s="23" t="n">
        <f aca="false">'Qté 2027'!S116*$C116</f>
        <v>2.508</v>
      </c>
      <c r="T116" s="23" t="n">
        <f aca="false">'Qté 2027'!T116*$C116</f>
        <v>1.368</v>
      </c>
      <c r="U116" s="23" t="n">
        <f aca="false">'Qté 2027'!U116*$C116</f>
        <v>0</v>
      </c>
      <c r="V116" s="23" t="n">
        <f aca="false">'Qté 2027'!V116*$C116</f>
        <v>0</v>
      </c>
      <c r="W116" s="23" t="n">
        <f aca="false">'Qté 2027'!W116*$C116</f>
        <v>0</v>
      </c>
      <c r="X116" s="23" t="n">
        <f aca="false">'Qté 2027'!X116*$C116</f>
        <v>0</v>
      </c>
      <c r="Y116" s="23" t="n">
        <f aca="false">'Qté 2027'!Y116*$C116</f>
        <v>0</v>
      </c>
      <c r="Z116" s="23" t="n">
        <f aca="false">'Qté 2027'!Z116*$C116</f>
        <v>0</v>
      </c>
      <c r="AA116" s="23" t="n">
        <f aca="false">'Qté 2027'!AA116*$C116</f>
        <v>2.508</v>
      </c>
      <c r="AB116" s="23" t="n">
        <f aca="false">'Qté 2027'!AB116*$C116</f>
        <v>5.244</v>
      </c>
      <c r="AC116" s="23" t="n">
        <f aca="false">'Qté 2027'!AC116*$C116</f>
        <v>3.876</v>
      </c>
      <c r="AD116" s="23" t="n">
        <f aca="false">'Qté 2027'!AD116*$C116</f>
        <v>3.876</v>
      </c>
      <c r="AE116" s="23" t="n">
        <f aca="false">'Qté 2027'!AE116*$C116</f>
        <v>3.876</v>
      </c>
      <c r="AF116" s="23" t="n">
        <f aca="false">'Qté 2027'!AF116*$C116</f>
        <v>1.368</v>
      </c>
      <c r="AG116" s="23" t="n">
        <f aca="false">'Qté 2027'!AG116*$C116</f>
        <v>0</v>
      </c>
      <c r="AH116" s="23" t="n">
        <f aca="false">'Qté 2027'!AH116*$C116</f>
        <v>0</v>
      </c>
      <c r="AI116" s="23" t="n">
        <f aca="false">'Qté 2027'!AI116*$C116</f>
        <v>0</v>
      </c>
      <c r="AJ116" s="23" t="n">
        <f aca="false">'Qté 2027'!AJ116*$C116</f>
        <v>0</v>
      </c>
      <c r="AK116" s="23" t="n">
        <f aca="false">'Qté 2027'!AK116*$C116</f>
        <v>0</v>
      </c>
      <c r="AL116" s="23" t="n">
        <f aca="false">'Qté 2027'!AL116*$C116</f>
        <v>0</v>
      </c>
      <c r="AM116" s="23" t="n">
        <f aca="false">'Qté 2027'!AM116*$C116</f>
        <v>0</v>
      </c>
      <c r="AN116" s="23" t="n">
        <f aca="false">'Qté 2027'!AN116*$C116</f>
        <v>0</v>
      </c>
      <c r="AO116" s="23" t="n">
        <f aca="false">'Qté 2027'!AO116*$C116</f>
        <v>0</v>
      </c>
      <c r="AP116" s="23" t="n">
        <f aca="false">'Qté 2027'!AP116*$C116</f>
        <v>0</v>
      </c>
      <c r="AQ116" s="23" t="n">
        <f aca="false">'Qté 2027'!AQ116*$C116</f>
        <v>0</v>
      </c>
      <c r="AR116" s="23" t="n">
        <f aca="false">'Qté 2027'!AR116*$C116</f>
        <v>0</v>
      </c>
      <c r="AS116" s="23" t="n">
        <f aca="false">'Qté 2027'!AS116*$C116</f>
        <v>0</v>
      </c>
      <c r="AT116" s="23" t="n">
        <f aca="false">'Qté 2027'!AT116*$C116</f>
        <v>0</v>
      </c>
      <c r="AU116" s="23" t="n">
        <f aca="false">'Qté 2027'!AU116*$C116</f>
        <v>0</v>
      </c>
      <c r="AV116" s="23" t="n">
        <f aca="false">'Qté 2027'!AV116*$C116</f>
        <v>0</v>
      </c>
      <c r="AW116" s="23" t="n">
        <f aca="false">'Qté 2027'!AW116*$C116</f>
        <v>0</v>
      </c>
      <c r="AX116" s="23" t="n">
        <f aca="false">'Qté 2027'!AX116*$C116</f>
        <v>0</v>
      </c>
      <c r="AY116" s="23" t="n">
        <f aca="false">'Qté 2027'!AY116*$C116</f>
        <v>0</v>
      </c>
      <c r="AZ116" s="23" t="n">
        <f aca="false">'Qté 2027'!AZ116*$C116</f>
        <v>0</v>
      </c>
      <c r="BA116" s="23" t="n">
        <f aca="false">'Qté 2027'!BA116*$C116</f>
        <v>0</v>
      </c>
      <c r="BB116" s="23" t="n">
        <f aca="false">'Qté 2027'!BB116*$C116</f>
        <v>0</v>
      </c>
      <c r="BC116" s="23" t="n">
        <f aca="false">'Qté 2027'!BC116*$C116</f>
        <v>0</v>
      </c>
      <c r="BD116" s="15" t="n">
        <f aca="false">SUM(D116:BC116)</f>
        <v>25.992</v>
      </c>
    </row>
    <row r="117" customFormat="false" ht="15" hidden="false" customHeight="false" outlineLevel="0" collapsed="false">
      <c r="A117" s="5" t="s">
        <v>293</v>
      </c>
      <c r="B117" s="5" t="s">
        <v>62</v>
      </c>
      <c r="C117" s="22" t="n">
        <v>11.11</v>
      </c>
      <c r="D117" s="23" t="n">
        <f aca="false">'Qté 2027'!D117*$C117</f>
        <v>0</v>
      </c>
      <c r="E117" s="23" t="n">
        <f aca="false">'Qté 2027'!E117*$C117</f>
        <v>0</v>
      </c>
      <c r="F117" s="23" t="n">
        <f aca="false">'Qté 2027'!F117*$C117</f>
        <v>0</v>
      </c>
      <c r="G117" s="23" t="n">
        <f aca="false">'Qté 2027'!G117*$C117</f>
        <v>0</v>
      </c>
      <c r="H117" s="23" t="n">
        <f aca="false">'Qté 2027'!H117*$C117</f>
        <v>0</v>
      </c>
      <c r="I117" s="23" t="n">
        <f aca="false">'Qté 2027'!I117*$C117</f>
        <v>0</v>
      </c>
      <c r="J117" s="23" t="n">
        <f aca="false">'Qté 2027'!J117*$C117</f>
        <v>0</v>
      </c>
      <c r="K117" s="23" t="n">
        <f aca="false">'Qté 2027'!K117*$C117</f>
        <v>0</v>
      </c>
      <c r="L117" s="23" t="n">
        <f aca="false">'Qté 2027'!L117*$C117</f>
        <v>0</v>
      </c>
      <c r="M117" s="23" t="n">
        <f aca="false">'Qté 2027'!M117*$C117</f>
        <v>0.9999</v>
      </c>
      <c r="N117" s="23" t="n">
        <f aca="false">'Qté 2027'!N117*$C117</f>
        <v>1.9998</v>
      </c>
      <c r="O117" s="23" t="n">
        <f aca="false">'Qté 2027'!O117*$C117</f>
        <v>0.9999</v>
      </c>
      <c r="P117" s="23" t="n">
        <f aca="false">'Qté 2027'!P117*$C117</f>
        <v>0</v>
      </c>
      <c r="Q117" s="23" t="n">
        <f aca="false">'Qté 2027'!Q117*$C117</f>
        <v>0</v>
      </c>
      <c r="R117" s="23" t="n">
        <f aca="false">'Qté 2027'!R117*$C117</f>
        <v>0</v>
      </c>
      <c r="S117" s="23" t="n">
        <f aca="false">'Qté 2027'!S117*$C117</f>
        <v>0</v>
      </c>
      <c r="T117" s="23" t="n">
        <f aca="false">'Qté 2027'!T117*$C117</f>
        <v>0</v>
      </c>
      <c r="U117" s="23" t="n">
        <f aca="false">'Qté 2027'!U117*$C117</f>
        <v>0.8888</v>
      </c>
      <c r="V117" s="23" t="n">
        <f aca="false">'Qté 2027'!V117*$C117</f>
        <v>1.7776</v>
      </c>
      <c r="W117" s="23" t="n">
        <f aca="false">'Qté 2027'!W117*$C117</f>
        <v>2.7775</v>
      </c>
      <c r="X117" s="23" t="n">
        <f aca="false">'Qté 2027'!X117*$C117</f>
        <v>3.7774</v>
      </c>
      <c r="Y117" s="23" t="n">
        <f aca="false">'Qté 2027'!Y117*$C117</f>
        <v>2.5553</v>
      </c>
      <c r="Z117" s="23" t="n">
        <f aca="false">'Qté 2027'!Z117*$C117</f>
        <v>2.222</v>
      </c>
      <c r="AA117" s="23" t="n">
        <f aca="false">'Qté 2027'!AA117*$C117</f>
        <v>2.6664</v>
      </c>
      <c r="AB117" s="23" t="n">
        <f aca="false">'Qté 2027'!AB117*$C117</f>
        <v>1.9998</v>
      </c>
      <c r="AC117" s="23" t="n">
        <f aca="false">'Qté 2027'!AC117*$C117</f>
        <v>1.9998</v>
      </c>
      <c r="AD117" s="23" t="n">
        <f aca="false">'Qté 2027'!AD117*$C117</f>
        <v>0.9999</v>
      </c>
      <c r="AE117" s="23" t="n">
        <f aca="false">'Qté 2027'!AE117*$C117</f>
        <v>0</v>
      </c>
      <c r="AF117" s="23" t="n">
        <f aca="false">'Qté 2027'!AF117*$C117</f>
        <v>0</v>
      </c>
      <c r="AG117" s="23" t="n">
        <f aca="false">'Qté 2027'!AG117*$C117</f>
        <v>0</v>
      </c>
      <c r="AH117" s="23" t="n">
        <f aca="false">'Qté 2027'!AH117*$C117</f>
        <v>0</v>
      </c>
      <c r="AI117" s="23" t="n">
        <f aca="false">'Qté 2027'!AI117*$C117</f>
        <v>0</v>
      </c>
      <c r="AJ117" s="23" t="n">
        <f aca="false">'Qté 2027'!AJ117*$C117</f>
        <v>0</v>
      </c>
      <c r="AK117" s="23" t="n">
        <f aca="false">'Qté 2027'!AK117*$C117</f>
        <v>0</v>
      </c>
      <c r="AL117" s="23" t="n">
        <f aca="false">'Qté 2027'!AL117*$C117</f>
        <v>0</v>
      </c>
      <c r="AM117" s="23" t="n">
        <f aca="false">'Qté 2027'!AM117*$C117</f>
        <v>0</v>
      </c>
      <c r="AN117" s="23" t="n">
        <f aca="false">'Qté 2027'!AN117*$C117</f>
        <v>0</v>
      </c>
      <c r="AO117" s="23" t="n">
        <f aca="false">'Qté 2027'!AO117*$C117</f>
        <v>0</v>
      </c>
      <c r="AP117" s="23" t="n">
        <f aca="false">'Qté 2027'!AP117*$C117</f>
        <v>0</v>
      </c>
      <c r="AQ117" s="23" t="n">
        <f aca="false">'Qté 2027'!AQ117*$C117</f>
        <v>0</v>
      </c>
      <c r="AR117" s="23" t="n">
        <f aca="false">'Qté 2027'!AR117*$C117</f>
        <v>0</v>
      </c>
      <c r="AS117" s="23" t="n">
        <f aca="false">'Qté 2027'!AS117*$C117</f>
        <v>0</v>
      </c>
      <c r="AT117" s="23" t="n">
        <f aca="false">'Qté 2027'!AT117*$C117</f>
        <v>0</v>
      </c>
      <c r="AU117" s="23" t="n">
        <f aca="false">'Qté 2027'!AU117*$C117</f>
        <v>0</v>
      </c>
      <c r="AV117" s="23" t="n">
        <f aca="false">'Qté 2027'!AV117*$C117</f>
        <v>0</v>
      </c>
      <c r="AW117" s="23" t="n">
        <f aca="false">'Qté 2027'!AW117*$C117</f>
        <v>0</v>
      </c>
      <c r="AX117" s="23" t="n">
        <f aca="false">'Qté 2027'!AX117*$C117</f>
        <v>0</v>
      </c>
      <c r="AY117" s="23" t="n">
        <f aca="false">'Qté 2027'!AY117*$C117</f>
        <v>0</v>
      </c>
      <c r="AZ117" s="23" t="n">
        <f aca="false">'Qté 2027'!AZ117*$C117</f>
        <v>0</v>
      </c>
      <c r="BA117" s="23" t="n">
        <f aca="false">'Qté 2027'!BA117*$C117</f>
        <v>0</v>
      </c>
      <c r="BB117" s="23" t="n">
        <f aca="false">'Qté 2027'!BB117*$C117</f>
        <v>0</v>
      </c>
      <c r="BC117" s="23" t="n">
        <f aca="false">'Qté 2027'!BC117*$C117</f>
        <v>0</v>
      </c>
      <c r="BD117" s="15" t="n">
        <f aca="false">SUM(D117:BC117)</f>
        <v>25.6641</v>
      </c>
    </row>
    <row r="118" customFormat="false" ht="15" hidden="false" customHeight="false" outlineLevel="0" collapsed="false">
      <c r="A118" s="5" t="s">
        <v>294</v>
      </c>
      <c r="B118" s="5" t="s">
        <v>62</v>
      </c>
      <c r="C118" s="22" t="n">
        <v>32.71</v>
      </c>
      <c r="D118" s="23" t="n">
        <f aca="false">'Qté 2027'!D118*$C118</f>
        <v>0</v>
      </c>
      <c r="E118" s="23" t="n">
        <f aca="false">'Qté 2027'!E118*$C118</f>
        <v>0</v>
      </c>
      <c r="F118" s="23" t="n">
        <f aca="false">'Qté 2027'!F118*$C118</f>
        <v>0</v>
      </c>
      <c r="G118" s="23" t="n">
        <f aca="false">'Qté 2027'!G118*$C118</f>
        <v>0</v>
      </c>
      <c r="H118" s="23" t="n">
        <f aca="false">'Qté 2027'!H118*$C118</f>
        <v>0</v>
      </c>
      <c r="I118" s="23" t="n">
        <f aca="false">'Qté 2027'!I118*$C118</f>
        <v>0</v>
      </c>
      <c r="J118" s="23" t="n">
        <f aca="false">'Qté 2027'!J118*$C118</f>
        <v>0</v>
      </c>
      <c r="K118" s="23" t="n">
        <f aca="false">'Qté 2027'!K118*$C118</f>
        <v>0</v>
      </c>
      <c r="L118" s="23" t="n">
        <f aca="false">'Qté 2027'!L118*$C118</f>
        <v>0</v>
      </c>
      <c r="M118" s="23" t="n">
        <f aca="false">'Qté 2027'!M118*$C118</f>
        <v>0</v>
      </c>
      <c r="N118" s="23" t="n">
        <f aca="false">'Qté 2027'!N118*$C118</f>
        <v>0</v>
      </c>
      <c r="O118" s="23" t="n">
        <f aca="false">'Qté 2027'!O118*$C118</f>
        <v>0</v>
      </c>
      <c r="P118" s="23" t="n">
        <f aca="false">'Qté 2027'!P118*$C118</f>
        <v>0</v>
      </c>
      <c r="Q118" s="23" t="n">
        <f aca="false">'Qté 2027'!Q118*$C118</f>
        <v>0</v>
      </c>
      <c r="R118" s="23" t="n">
        <f aca="false">'Qté 2027'!R118*$C118</f>
        <v>0</v>
      </c>
      <c r="S118" s="23" t="n">
        <f aca="false">'Qté 2027'!S118*$C118</f>
        <v>0</v>
      </c>
      <c r="T118" s="23" t="n">
        <f aca="false">'Qté 2027'!T118*$C118</f>
        <v>0.9813</v>
      </c>
      <c r="U118" s="23" t="n">
        <f aca="false">'Qté 2027'!U118*$C118</f>
        <v>4.9065</v>
      </c>
      <c r="V118" s="23" t="n">
        <f aca="false">'Qté 2027'!V118*$C118</f>
        <v>6.2149</v>
      </c>
      <c r="W118" s="23" t="n">
        <f aca="false">'Qté 2027'!W118*$C118</f>
        <v>2.6168</v>
      </c>
      <c r="X118" s="23" t="n">
        <f aca="false">'Qté 2027'!X118*$C118</f>
        <v>0</v>
      </c>
      <c r="Y118" s="23" t="n">
        <f aca="false">'Qté 2027'!Y118*$C118</f>
        <v>0</v>
      </c>
      <c r="Z118" s="23" t="n">
        <f aca="false">'Qté 2027'!Z118*$C118</f>
        <v>0</v>
      </c>
      <c r="AA118" s="23" t="n">
        <f aca="false">'Qté 2027'!AA118*$C118</f>
        <v>0</v>
      </c>
      <c r="AB118" s="23" t="n">
        <f aca="false">'Qté 2027'!AB118*$C118</f>
        <v>0</v>
      </c>
      <c r="AC118" s="23" t="n">
        <f aca="false">'Qté 2027'!AC118*$C118</f>
        <v>0</v>
      </c>
      <c r="AD118" s="23" t="n">
        <f aca="false">'Qté 2027'!AD118*$C118</f>
        <v>0</v>
      </c>
      <c r="AE118" s="23" t="n">
        <f aca="false">'Qté 2027'!AE118*$C118</f>
        <v>0</v>
      </c>
      <c r="AF118" s="23" t="n">
        <f aca="false">'Qté 2027'!AF118*$C118</f>
        <v>2.6168</v>
      </c>
      <c r="AG118" s="23" t="n">
        <f aca="false">'Qté 2027'!AG118*$C118</f>
        <v>5.5607</v>
      </c>
      <c r="AH118" s="23" t="n">
        <f aca="false">'Qté 2027'!AH118*$C118</f>
        <v>2.6168</v>
      </c>
      <c r="AI118" s="23" t="n">
        <f aca="false">'Qté 2027'!AI118*$C118</f>
        <v>0</v>
      </c>
      <c r="AJ118" s="23" t="n">
        <f aca="false">'Qté 2027'!AJ118*$C118</f>
        <v>0</v>
      </c>
      <c r="AK118" s="23" t="n">
        <f aca="false">'Qté 2027'!AK118*$C118</f>
        <v>0</v>
      </c>
      <c r="AL118" s="23" t="n">
        <f aca="false">'Qté 2027'!AL118*$C118</f>
        <v>0</v>
      </c>
      <c r="AM118" s="23" t="n">
        <f aca="false">'Qté 2027'!AM118*$C118</f>
        <v>0</v>
      </c>
      <c r="AN118" s="23" t="n">
        <f aca="false">'Qté 2027'!AN118*$C118</f>
        <v>0</v>
      </c>
      <c r="AO118" s="23" t="n">
        <f aca="false">'Qté 2027'!AO118*$C118</f>
        <v>0</v>
      </c>
      <c r="AP118" s="23" t="n">
        <f aca="false">'Qté 2027'!AP118*$C118</f>
        <v>0</v>
      </c>
      <c r="AQ118" s="23" t="n">
        <f aca="false">'Qté 2027'!AQ118*$C118</f>
        <v>0</v>
      </c>
      <c r="AR118" s="23" t="n">
        <f aca="false">'Qté 2027'!AR118*$C118</f>
        <v>0</v>
      </c>
      <c r="AS118" s="23" t="n">
        <f aca="false">'Qté 2027'!AS118*$C118</f>
        <v>0</v>
      </c>
      <c r="AT118" s="23" t="n">
        <f aca="false">'Qté 2027'!AT118*$C118</f>
        <v>0</v>
      </c>
      <c r="AU118" s="23" t="n">
        <f aca="false">'Qté 2027'!AU118*$C118</f>
        <v>0</v>
      </c>
      <c r="AV118" s="23" t="n">
        <f aca="false">'Qté 2027'!AV118*$C118</f>
        <v>0</v>
      </c>
      <c r="AW118" s="23" t="n">
        <f aca="false">'Qté 2027'!AW118*$C118</f>
        <v>0</v>
      </c>
      <c r="AX118" s="23" t="n">
        <f aca="false">'Qté 2027'!AX118*$C118</f>
        <v>0</v>
      </c>
      <c r="AY118" s="23" t="n">
        <f aca="false">'Qté 2027'!AY118*$C118</f>
        <v>0</v>
      </c>
      <c r="AZ118" s="23" t="n">
        <f aca="false">'Qté 2027'!AZ118*$C118</f>
        <v>0</v>
      </c>
      <c r="BA118" s="23" t="n">
        <f aca="false">'Qté 2027'!BA118*$C118</f>
        <v>0</v>
      </c>
      <c r="BB118" s="23" t="n">
        <f aca="false">'Qté 2027'!BB118*$C118</f>
        <v>0</v>
      </c>
      <c r="BC118" s="23" t="n">
        <f aca="false">'Qté 2027'!BC118*$C118</f>
        <v>0</v>
      </c>
      <c r="BD118" s="15" t="n">
        <f aca="false">SUM(D118:BC118)</f>
        <v>25.5138</v>
      </c>
    </row>
    <row r="119" customFormat="false" ht="15" hidden="false" customHeight="false" outlineLevel="0" collapsed="false">
      <c r="A119" s="5" t="s">
        <v>295</v>
      </c>
      <c r="B119" s="5" t="s">
        <v>69</v>
      </c>
      <c r="C119" s="22" t="n">
        <v>52.8</v>
      </c>
      <c r="D119" s="23" t="n">
        <f aca="false">'Qté 2027'!D119*$C119</f>
        <v>0</v>
      </c>
      <c r="E119" s="23" t="n">
        <f aca="false">'Qté 2027'!E119*$C119</f>
        <v>0</v>
      </c>
      <c r="F119" s="23" t="n">
        <f aca="false">'Qté 2027'!F119*$C119</f>
        <v>0</v>
      </c>
      <c r="G119" s="23" t="n">
        <f aca="false">'Qté 2027'!G119*$C119</f>
        <v>0</v>
      </c>
      <c r="H119" s="23" t="n">
        <f aca="false">'Qté 2027'!H119*$C119</f>
        <v>0</v>
      </c>
      <c r="I119" s="23" t="n">
        <f aca="false">'Qté 2027'!I119*$C119</f>
        <v>0</v>
      </c>
      <c r="J119" s="23" t="n">
        <f aca="false">'Qté 2027'!J119*$C119</f>
        <v>0</v>
      </c>
      <c r="K119" s="23" t="n">
        <f aca="false">'Qté 2027'!K119*$C119</f>
        <v>0</v>
      </c>
      <c r="L119" s="23" t="n">
        <f aca="false">'Qté 2027'!L119*$C119</f>
        <v>0</v>
      </c>
      <c r="M119" s="23" t="n">
        <f aca="false">'Qté 2027'!M119*$C119</f>
        <v>0</v>
      </c>
      <c r="N119" s="23" t="n">
        <f aca="false">'Qté 2027'!N119*$C119</f>
        <v>0</v>
      </c>
      <c r="O119" s="23" t="n">
        <f aca="false">'Qté 2027'!O119*$C119</f>
        <v>0</v>
      </c>
      <c r="P119" s="23" t="n">
        <f aca="false">'Qté 2027'!P119*$C119</f>
        <v>0</v>
      </c>
      <c r="Q119" s="23" t="n">
        <f aca="false">'Qté 2027'!Q119*$C119</f>
        <v>0</v>
      </c>
      <c r="R119" s="23" t="n">
        <f aca="false">'Qté 2027'!R119*$C119</f>
        <v>0</v>
      </c>
      <c r="S119" s="23" t="n">
        <f aca="false">'Qté 2027'!S119*$C119</f>
        <v>0</v>
      </c>
      <c r="T119" s="23" t="n">
        <f aca="false">'Qté 2027'!T119*$C119</f>
        <v>0</v>
      </c>
      <c r="U119" s="23" t="n">
        <f aca="false">'Qté 2027'!U119*$C119</f>
        <v>0</v>
      </c>
      <c r="V119" s="23" t="n">
        <f aca="false">'Qté 2027'!V119*$C119</f>
        <v>0</v>
      </c>
      <c r="W119" s="23" t="n">
        <f aca="false">'Qté 2027'!W119*$C119</f>
        <v>0</v>
      </c>
      <c r="X119" s="23" t="n">
        <f aca="false">'Qté 2027'!X119*$C119</f>
        <v>0</v>
      </c>
      <c r="Y119" s="23" t="n">
        <f aca="false">'Qté 2027'!Y119*$C119</f>
        <v>0</v>
      </c>
      <c r="Z119" s="23" t="n">
        <f aca="false">'Qté 2027'!Z119*$C119</f>
        <v>0</v>
      </c>
      <c r="AA119" s="23" t="n">
        <f aca="false">'Qté 2027'!AA119*$C119</f>
        <v>0</v>
      </c>
      <c r="AB119" s="23" t="n">
        <f aca="false">'Qté 2027'!AB119*$C119</f>
        <v>0</v>
      </c>
      <c r="AC119" s="23" t="n">
        <f aca="false">'Qté 2027'!AC119*$C119</f>
        <v>0</v>
      </c>
      <c r="AD119" s="23" t="n">
        <f aca="false">'Qté 2027'!AD119*$C119</f>
        <v>0</v>
      </c>
      <c r="AE119" s="23" t="n">
        <f aca="false">'Qté 2027'!AE119*$C119</f>
        <v>0</v>
      </c>
      <c r="AF119" s="23" t="n">
        <f aca="false">'Qté 2027'!AF119*$C119</f>
        <v>6.336</v>
      </c>
      <c r="AG119" s="23" t="n">
        <f aca="false">'Qté 2027'!AG119*$C119</f>
        <v>12.144</v>
      </c>
      <c r="AH119" s="23" t="n">
        <f aca="false">'Qté 2027'!AH119*$C119</f>
        <v>6.336</v>
      </c>
      <c r="AI119" s="23" t="n">
        <f aca="false">'Qté 2027'!AI119*$C119</f>
        <v>0</v>
      </c>
      <c r="AJ119" s="23" t="n">
        <f aca="false">'Qté 2027'!AJ119*$C119</f>
        <v>0</v>
      </c>
      <c r="AK119" s="23" t="n">
        <f aca="false">'Qté 2027'!AK119*$C119</f>
        <v>0</v>
      </c>
      <c r="AL119" s="23" t="n">
        <f aca="false">'Qté 2027'!AL119*$C119</f>
        <v>0</v>
      </c>
      <c r="AM119" s="23" t="n">
        <f aca="false">'Qté 2027'!AM119*$C119</f>
        <v>0</v>
      </c>
      <c r="AN119" s="23" t="n">
        <f aca="false">'Qté 2027'!AN119*$C119</f>
        <v>0</v>
      </c>
      <c r="AO119" s="23" t="n">
        <f aca="false">'Qté 2027'!AO119*$C119</f>
        <v>0</v>
      </c>
      <c r="AP119" s="23" t="n">
        <f aca="false">'Qté 2027'!AP119*$C119</f>
        <v>0</v>
      </c>
      <c r="AQ119" s="23" t="n">
        <f aca="false">'Qté 2027'!AQ119*$C119</f>
        <v>0</v>
      </c>
      <c r="AR119" s="23" t="n">
        <f aca="false">'Qté 2027'!AR119*$C119</f>
        <v>0</v>
      </c>
      <c r="AS119" s="23" t="n">
        <f aca="false">'Qté 2027'!AS119*$C119</f>
        <v>0</v>
      </c>
      <c r="AT119" s="23" t="n">
        <f aca="false">'Qté 2027'!AT119*$C119</f>
        <v>0</v>
      </c>
      <c r="AU119" s="23" t="n">
        <f aca="false">'Qté 2027'!AU119*$C119</f>
        <v>0</v>
      </c>
      <c r="AV119" s="23" t="n">
        <f aca="false">'Qté 2027'!AV119*$C119</f>
        <v>0</v>
      </c>
      <c r="AW119" s="23" t="n">
        <f aca="false">'Qté 2027'!AW119*$C119</f>
        <v>0</v>
      </c>
      <c r="AX119" s="23" t="n">
        <f aca="false">'Qté 2027'!AX119*$C119</f>
        <v>0</v>
      </c>
      <c r="AY119" s="23" t="n">
        <f aca="false">'Qté 2027'!AY119*$C119</f>
        <v>0</v>
      </c>
      <c r="AZ119" s="23" t="n">
        <f aca="false">'Qté 2027'!AZ119*$C119</f>
        <v>0</v>
      </c>
      <c r="BA119" s="23" t="n">
        <f aca="false">'Qté 2027'!BA119*$C119</f>
        <v>0</v>
      </c>
      <c r="BB119" s="23" t="n">
        <f aca="false">'Qté 2027'!BB119*$C119</f>
        <v>0</v>
      </c>
      <c r="BC119" s="23" t="n">
        <f aca="false">'Qté 2027'!BC119*$C119</f>
        <v>0</v>
      </c>
      <c r="BD119" s="15" t="n">
        <f aca="false">SUM(D119:BC119)</f>
        <v>24.816</v>
      </c>
    </row>
    <row r="120" customFormat="false" ht="15" hidden="false" customHeight="false" outlineLevel="0" collapsed="false">
      <c r="A120" s="5" t="s">
        <v>296</v>
      </c>
      <c r="B120" s="5" t="s">
        <v>45</v>
      </c>
      <c r="C120" s="22" t="n">
        <v>10.08</v>
      </c>
      <c r="D120" s="23" t="n">
        <f aca="false">'Qté 2027'!D120*$C120</f>
        <v>0</v>
      </c>
      <c r="E120" s="23" t="n">
        <f aca="false">'Qté 2027'!E120*$C120</f>
        <v>0</v>
      </c>
      <c r="F120" s="23" t="n">
        <f aca="false">'Qté 2027'!F120*$C120</f>
        <v>0</v>
      </c>
      <c r="G120" s="23" t="n">
        <f aca="false">'Qté 2027'!G120*$C120</f>
        <v>0</v>
      </c>
      <c r="H120" s="23" t="n">
        <f aca="false">'Qté 2027'!H120*$C120</f>
        <v>0</v>
      </c>
      <c r="I120" s="23" t="n">
        <f aca="false">'Qté 2027'!I120*$C120</f>
        <v>0</v>
      </c>
      <c r="J120" s="23" t="n">
        <f aca="false">'Qté 2027'!J120*$C120</f>
        <v>0</v>
      </c>
      <c r="K120" s="23" t="n">
        <f aca="false">'Qté 2027'!K120*$C120</f>
        <v>0</v>
      </c>
      <c r="L120" s="23" t="n">
        <f aca="false">'Qté 2027'!L120*$C120</f>
        <v>0</v>
      </c>
      <c r="M120" s="23" t="n">
        <f aca="false">'Qté 2027'!M120*$C120</f>
        <v>0</v>
      </c>
      <c r="N120" s="23" t="n">
        <f aca="false">'Qté 2027'!N120*$C120</f>
        <v>0</v>
      </c>
      <c r="O120" s="23" t="n">
        <f aca="false">'Qté 2027'!O120*$C120</f>
        <v>0</v>
      </c>
      <c r="P120" s="23" t="n">
        <f aca="false">'Qté 2027'!P120*$C120</f>
        <v>0</v>
      </c>
      <c r="Q120" s="23" t="n">
        <f aca="false">'Qté 2027'!Q120*$C120</f>
        <v>0</v>
      </c>
      <c r="R120" s="23" t="n">
        <f aca="false">'Qté 2027'!R120*$C120</f>
        <v>0</v>
      </c>
      <c r="S120" s="23" t="n">
        <f aca="false">'Qté 2027'!S120*$C120</f>
        <v>0</v>
      </c>
      <c r="T120" s="23" t="n">
        <f aca="false">'Qté 2027'!T120*$C120</f>
        <v>0.8064</v>
      </c>
      <c r="U120" s="23" t="n">
        <f aca="false">'Qté 2027'!U120*$C120</f>
        <v>1.6128</v>
      </c>
      <c r="V120" s="23" t="n">
        <f aca="false">'Qté 2027'!V120*$C120</f>
        <v>1.6128</v>
      </c>
      <c r="W120" s="23" t="n">
        <f aca="false">'Qté 2027'!W120*$C120</f>
        <v>1.6128</v>
      </c>
      <c r="X120" s="23" t="n">
        <f aca="false">'Qté 2027'!X120*$C120</f>
        <v>0.8064</v>
      </c>
      <c r="Y120" s="23" t="n">
        <f aca="false">'Qté 2027'!Y120*$C120</f>
        <v>0</v>
      </c>
      <c r="Z120" s="23" t="n">
        <f aca="false">'Qté 2027'!Z120*$C120</f>
        <v>0.6048</v>
      </c>
      <c r="AA120" s="23" t="n">
        <f aca="false">'Qté 2027'!AA120*$C120</f>
        <v>1.1088</v>
      </c>
      <c r="AB120" s="23" t="n">
        <f aca="false">'Qté 2027'!AB120*$C120</f>
        <v>1.1088</v>
      </c>
      <c r="AC120" s="23" t="n">
        <f aca="false">'Qté 2027'!AC120*$C120</f>
        <v>1.1088</v>
      </c>
      <c r="AD120" s="23" t="n">
        <f aca="false">'Qté 2027'!AD120*$C120</f>
        <v>0.6048</v>
      </c>
      <c r="AE120" s="23" t="n">
        <f aca="false">'Qté 2027'!AE120*$C120</f>
        <v>0.8064</v>
      </c>
      <c r="AF120" s="23" t="n">
        <f aca="false">'Qté 2027'!AF120*$C120</f>
        <v>1.7136</v>
      </c>
      <c r="AG120" s="23" t="n">
        <f aca="false">'Qté 2027'!AG120*$C120</f>
        <v>0.8064</v>
      </c>
      <c r="AH120" s="23" t="n">
        <f aca="false">'Qté 2027'!AH120*$C120</f>
        <v>0.8064</v>
      </c>
      <c r="AI120" s="23" t="n">
        <f aca="false">'Qté 2027'!AI120*$C120</f>
        <v>2.52</v>
      </c>
      <c r="AJ120" s="23" t="n">
        <f aca="false">'Qté 2027'!AJ120*$C120</f>
        <v>2.52</v>
      </c>
      <c r="AK120" s="23" t="n">
        <f aca="false">'Qté 2027'!AK120*$C120</f>
        <v>0.8064</v>
      </c>
      <c r="AL120" s="23" t="n">
        <f aca="false">'Qté 2027'!AL120*$C120</f>
        <v>0</v>
      </c>
      <c r="AM120" s="23" t="n">
        <f aca="false">'Qté 2027'!AM120*$C120</f>
        <v>0</v>
      </c>
      <c r="AN120" s="23" t="n">
        <f aca="false">'Qté 2027'!AN120*$C120</f>
        <v>0</v>
      </c>
      <c r="AO120" s="23" t="n">
        <f aca="false">'Qté 2027'!AO120*$C120</f>
        <v>0</v>
      </c>
      <c r="AP120" s="23" t="n">
        <f aca="false">'Qté 2027'!AP120*$C120</f>
        <v>0</v>
      </c>
      <c r="AQ120" s="23" t="n">
        <f aca="false">'Qté 2027'!AQ120*$C120</f>
        <v>0</v>
      </c>
      <c r="AR120" s="23" t="n">
        <f aca="false">'Qté 2027'!AR120*$C120</f>
        <v>0</v>
      </c>
      <c r="AS120" s="23" t="n">
        <f aca="false">'Qté 2027'!AS120*$C120</f>
        <v>0</v>
      </c>
      <c r="AT120" s="23" t="n">
        <f aca="false">'Qté 2027'!AT120*$C120</f>
        <v>0</v>
      </c>
      <c r="AU120" s="23" t="n">
        <f aca="false">'Qté 2027'!AU120*$C120</f>
        <v>0</v>
      </c>
      <c r="AV120" s="23" t="n">
        <f aca="false">'Qté 2027'!AV120*$C120</f>
        <v>0.8064</v>
      </c>
      <c r="AW120" s="23" t="n">
        <f aca="false">'Qté 2027'!AW120*$C120</f>
        <v>1.7136</v>
      </c>
      <c r="AX120" s="23" t="n">
        <f aca="false">'Qté 2027'!AX120*$C120</f>
        <v>0.8064</v>
      </c>
      <c r="AY120" s="23" t="n">
        <f aca="false">'Qté 2027'!AY120*$C120</f>
        <v>0</v>
      </c>
      <c r="AZ120" s="23" t="n">
        <f aca="false">'Qté 2027'!AZ120*$C120</f>
        <v>0</v>
      </c>
      <c r="BA120" s="23" t="n">
        <f aca="false">'Qté 2027'!BA120*$C120</f>
        <v>0</v>
      </c>
      <c r="BB120" s="23" t="n">
        <f aca="false">'Qté 2027'!BB120*$C120</f>
        <v>0</v>
      </c>
      <c r="BC120" s="23" t="n">
        <f aca="false">'Qté 2027'!BC120*$C120</f>
        <v>0</v>
      </c>
      <c r="BD120" s="15" t="n">
        <f aca="false">SUM(D120:BC120)</f>
        <v>24.2928</v>
      </c>
    </row>
    <row r="121" customFormat="false" ht="15" hidden="false" customHeight="false" outlineLevel="0" collapsed="false">
      <c r="A121" s="5" t="s">
        <v>297</v>
      </c>
      <c r="B121" s="5" t="s">
        <v>57</v>
      </c>
      <c r="C121" s="22" t="n">
        <v>17.76</v>
      </c>
      <c r="D121" s="23" t="n">
        <f aca="false">'Qté 2027'!D121*$C121</f>
        <v>0</v>
      </c>
      <c r="E121" s="23" t="n">
        <f aca="false">'Qté 2027'!E121*$C121</f>
        <v>0</v>
      </c>
      <c r="F121" s="23" t="n">
        <f aca="false">'Qté 2027'!F121*$C121</f>
        <v>0</v>
      </c>
      <c r="G121" s="23" t="n">
        <f aca="false">'Qté 2027'!G121*$C121</f>
        <v>0</v>
      </c>
      <c r="H121" s="23" t="n">
        <f aca="false">'Qté 2027'!H121*$C121</f>
        <v>0</v>
      </c>
      <c r="I121" s="23" t="n">
        <f aca="false">'Qté 2027'!I121*$C121</f>
        <v>0</v>
      </c>
      <c r="J121" s="23" t="n">
        <f aca="false">'Qté 2027'!J121*$C121</f>
        <v>0</v>
      </c>
      <c r="K121" s="23" t="n">
        <f aca="false">'Qté 2027'!K121*$C121</f>
        <v>0</v>
      </c>
      <c r="L121" s="23" t="n">
        <f aca="false">'Qté 2027'!L121*$C121</f>
        <v>0</v>
      </c>
      <c r="M121" s="23" t="n">
        <f aca="false">'Qté 2027'!M121*$C121</f>
        <v>0</v>
      </c>
      <c r="N121" s="23" t="n">
        <f aca="false">'Qté 2027'!N121*$C121</f>
        <v>1.5984</v>
      </c>
      <c r="O121" s="23" t="n">
        <f aca="false">'Qté 2027'!O121*$C121</f>
        <v>3.1968</v>
      </c>
      <c r="P121" s="23" t="n">
        <f aca="false">'Qté 2027'!P121*$C121</f>
        <v>1.5984</v>
      </c>
      <c r="Q121" s="23" t="n">
        <f aca="false">'Qté 2027'!Q121*$C121</f>
        <v>0</v>
      </c>
      <c r="R121" s="23" t="n">
        <f aca="false">'Qté 2027'!R121*$C121</f>
        <v>0</v>
      </c>
      <c r="S121" s="23" t="n">
        <f aca="false">'Qté 2027'!S121*$C121</f>
        <v>0</v>
      </c>
      <c r="T121" s="23" t="n">
        <f aca="false">'Qté 2027'!T121*$C121</f>
        <v>0</v>
      </c>
      <c r="U121" s="23" t="n">
        <f aca="false">'Qté 2027'!U121*$C121</f>
        <v>0</v>
      </c>
      <c r="V121" s="23" t="n">
        <f aca="false">'Qté 2027'!V121*$C121</f>
        <v>0</v>
      </c>
      <c r="W121" s="23" t="n">
        <f aca="false">'Qté 2027'!W121*$C121</f>
        <v>0</v>
      </c>
      <c r="X121" s="23" t="n">
        <f aca="false">'Qté 2027'!X121*$C121</f>
        <v>1.4208</v>
      </c>
      <c r="Y121" s="23" t="n">
        <f aca="false">'Qté 2027'!Y121*$C121</f>
        <v>4.2624</v>
      </c>
      <c r="Z121" s="23" t="n">
        <f aca="false">'Qté 2027'!Z121*$C121</f>
        <v>4.2624</v>
      </c>
      <c r="AA121" s="23" t="n">
        <f aca="false">'Qté 2027'!AA121*$C121</f>
        <v>2.8416</v>
      </c>
      <c r="AB121" s="23" t="n">
        <f aca="false">'Qté 2027'!AB121*$C121</f>
        <v>2.8416</v>
      </c>
      <c r="AC121" s="23" t="n">
        <f aca="false">'Qté 2027'!AC121*$C121</f>
        <v>1.4208</v>
      </c>
      <c r="AD121" s="23" t="n">
        <f aca="false">'Qté 2027'!AD121*$C121</f>
        <v>0</v>
      </c>
      <c r="AE121" s="23" t="n">
        <f aca="false">'Qté 2027'!AE121*$C121</f>
        <v>0</v>
      </c>
      <c r="AF121" s="23" t="n">
        <f aca="false">'Qté 2027'!AF121*$C121</f>
        <v>0</v>
      </c>
      <c r="AG121" s="23" t="n">
        <f aca="false">'Qté 2027'!AG121*$C121</f>
        <v>0</v>
      </c>
      <c r="AH121" s="23" t="n">
        <f aca="false">'Qté 2027'!AH121*$C121</f>
        <v>0</v>
      </c>
      <c r="AI121" s="23" t="n">
        <f aca="false">'Qté 2027'!AI121*$C121</f>
        <v>0</v>
      </c>
      <c r="AJ121" s="23" t="n">
        <f aca="false">'Qté 2027'!AJ121*$C121</f>
        <v>0</v>
      </c>
      <c r="AK121" s="23" t="n">
        <f aca="false">'Qté 2027'!AK121*$C121</f>
        <v>0</v>
      </c>
      <c r="AL121" s="23" t="n">
        <f aca="false">'Qté 2027'!AL121*$C121</f>
        <v>0</v>
      </c>
      <c r="AM121" s="23" t="n">
        <f aca="false">'Qté 2027'!AM121*$C121</f>
        <v>0</v>
      </c>
      <c r="AN121" s="23" t="n">
        <f aca="false">'Qté 2027'!AN121*$C121</f>
        <v>0</v>
      </c>
      <c r="AO121" s="23" t="n">
        <f aca="false">'Qté 2027'!AO121*$C121</f>
        <v>0</v>
      </c>
      <c r="AP121" s="23" t="n">
        <f aca="false">'Qté 2027'!AP121*$C121</f>
        <v>0</v>
      </c>
      <c r="AQ121" s="23" t="n">
        <f aca="false">'Qté 2027'!AQ121*$C121</f>
        <v>0</v>
      </c>
      <c r="AR121" s="23" t="n">
        <f aca="false">'Qté 2027'!AR121*$C121</f>
        <v>0</v>
      </c>
      <c r="AS121" s="23" t="n">
        <f aca="false">'Qté 2027'!AS121*$C121</f>
        <v>0</v>
      </c>
      <c r="AT121" s="23" t="n">
        <f aca="false">'Qté 2027'!AT121*$C121</f>
        <v>0</v>
      </c>
      <c r="AU121" s="23" t="n">
        <f aca="false">'Qté 2027'!AU121*$C121</f>
        <v>0</v>
      </c>
      <c r="AV121" s="23" t="n">
        <f aca="false">'Qté 2027'!AV121*$C121</f>
        <v>0</v>
      </c>
      <c r="AW121" s="23" t="n">
        <f aca="false">'Qté 2027'!AW121*$C121</f>
        <v>0</v>
      </c>
      <c r="AX121" s="23" t="n">
        <f aca="false">'Qté 2027'!AX121*$C121</f>
        <v>0</v>
      </c>
      <c r="AY121" s="23" t="n">
        <f aca="false">'Qté 2027'!AY121*$C121</f>
        <v>0</v>
      </c>
      <c r="AZ121" s="23" t="n">
        <f aca="false">'Qté 2027'!AZ121*$C121</f>
        <v>0</v>
      </c>
      <c r="BA121" s="23" t="n">
        <f aca="false">'Qté 2027'!BA121*$C121</f>
        <v>0</v>
      </c>
      <c r="BB121" s="23" t="n">
        <f aca="false">'Qté 2027'!BB121*$C121</f>
        <v>0</v>
      </c>
      <c r="BC121" s="23" t="n">
        <f aca="false">'Qté 2027'!BC121*$C121</f>
        <v>0</v>
      </c>
      <c r="BD121" s="15" t="n">
        <f aca="false">SUM(D121:BC121)</f>
        <v>23.4432</v>
      </c>
    </row>
    <row r="122" customFormat="false" ht="15" hidden="false" customHeight="false" outlineLevel="0" collapsed="false">
      <c r="A122" s="5" t="s">
        <v>298</v>
      </c>
      <c r="B122" s="5" t="s">
        <v>48</v>
      </c>
      <c r="C122" s="22" t="n">
        <v>4.8</v>
      </c>
      <c r="D122" s="23" t="n">
        <f aca="false">'Qté 2027'!D122*$C122</f>
        <v>0</v>
      </c>
      <c r="E122" s="23" t="n">
        <f aca="false">'Qté 2027'!E122*$C122</f>
        <v>0</v>
      </c>
      <c r="F122" s="23" t="n">
        <f aca="false">'Qté 2027'!F122*$C122</f>
        <v>0</v>
      </c>
      <c r="G122" s="23" t="n">
        <f aca="false">'Qté 2027'!G122*$C122</f>
        <v>0.768</v>
      </c>
      <c r="H122" s="23" t="n">
        <f aca="false">'Qté 2027'!H122*$C122</f>
        <v>1.632</v>
      </c>
      <c r="I122" s="23" t="n">
        <f aca="false">'Qté 2027'!I122*$C122</f>
        <v>0.96</v>
      </c>
      <c r="J122" s="23" t="n">
        <f aca="false">'Qté 2027'!J122*$C122</f>
        <v>0.096</v>
      </c>
      <c r="K122" s="23" t="n">
        <f aca="false">'Qté 2027'!K122*$C122</f>
        <v>0</v>
      </c>
      <c r="L122" s="23" t="n">
        <f aca="false">'Qté 2027'!L122*$C122</f>
        <v>0</v>
      </c>
      <c r="M122" s="23" t="n">
        <f aca="false">'Qté 2027'!M122*$C122</f>
        <v>0.528</v>
      </c>
      <c r="N122" s="23" t="n">
        <f aca="false">'Qté 2027'!N122*$C122</f>
        <v>1.104</v>
      </c>
      <c r="O122" s="23" t="n">
        <f aca="false">'Qté 2027'!O122*$C122</f>
        <v>0.528</v>
      </c>
      <c r="P122" s="23" t="n">
        <f aca="false">'Qté 2027'!P122*$C122</f>
        <v>0</v>
      </c>
      <c r="Q122" s="23" t="n">
        <f aca="false">'Qté 2027'!Q122*$C122</f>
        <v>0</v>
      </c>
      <c r="R122" s="23" t="n">
        <f aca="false">'Qté 2027'!R122*$C122</f>
        <v>0</v>
      </c>
      <c r="S122" s="23" t="n">
        <f aca="false">'Qté 2027'!S122*$C122</f>
        <v>0</v>
      </c>
      <c r="T122" s="23" t="n">
        <f aca="false">'Qté 2027'!T122*$C122</f>
        <v>0</v>
      </c>
      <c r="U122" s="23" t="n">
        <f aca="false">'Qté 2027'!U122*$C122</f>
        <v>0</v>
      </c>
      <c r="V122" s="23" t="n">
        <f aca="false">'Qté 2027'!V122*$C122</f>
        <v>0</v>
      </c>
      <c r="W122" s="23" t="n">
        <f aca="false">'Qté 2027'!W122*$C122</f>
        <v>0</v>
      </c>
      <c r="X122" s="23" t="n">
        <f aca="false">'Qté 2027'!X122*$C122</f>
        <v>0</v>
      </c>
      <c r="Y122" s="23" t="n">
        <f aca="false">'Qté 2027'!Y122*$C122</f>
        <v>0</v>
      </c>
      <c r="Z122" s="23" t="n">
        <f aca="false">'Qté 2027'!Z122*$C122</f>
        <v>0</v>
      </c>
      <c r="AA122" s="23" t="n">
        <f aca="false">'Qté 2027'!AA122*$C122</f>
        <v>0</v>
      </c>
      <c r="AB122" s="23" t="n">
        <f aca="false">'Qté 2027'!AB122*$C122</f>
        <v>0</v>
      </c>
      <c r="AC122" s="23" t="n">
        <f aca="false">'Qté 2027'!AC122*$C122</f>
        <v>0.336</v>
      </c>
      <c r="AD122" s="23" t="n">
        <f aca="false">'Qté 2027'!AD122*$C122</f>
        <v>1.2</v>
      </c>
      <c r="AE122" s="23" t="n">
        <f aca="false">'Qté 2027'!AE122*$C122</f>
        <v>1.632</v>
      </c>
      <c r="AF122" s="23" t="n">
        <f aca="false">'Qté 2027'!AF122*$C122</f>
        <v>1.008</v>
      </c>
      <c r="AG122" s="23" t="n">
        <f aca="false">'Qté 2027'!AG122*$C122</f>
        <v>0.24</v>
      </c>
      <c r="AH122" s="23" t="n">
        <f aca="false">'Qté 2027'!AH122*$C122</f>
        <v>0</v>
      </c>
      <c r="AI122" s="23" t="n">
        <f aca="false">'Qté 2027'!AI122*$C122</f>
        <v>0</v>
      </c>
      <c r="AJ122" s="23" t="n">
        <f aca="false">'Qté 2027'!AJ122*$C122</f>
        <v>0</v>
      </c>
      <c r="AK122" s="23" t="n">
        <f aca="false">'Qté 2027'!AK122*$C122</f>
        <v>0</v>
      </c>
      <c r="AL122" s="23" t="n">
        <f aca="false">'Qté 2027'!AL122*$C122</f>
        <v>0</v>
      </c>
      <c r="AM122" s="23" t="n">
        <f aca="false">'Qté 2027'!AM122*$C122</f>
        <v>0</v>
      </c>
      <c r="AN122" s="23" t="n">
        <f aca="false">'Qté 2027'!AN122*$C122</f>
        <v>0</v>
      </c>
      <c r="AO122" s="23" t="n">
        <f aca="false">'Qté 2027'!AO122*$C122</f>
        <v>0</v>
      </c>
      <c r="AP122" s="23" t="n">
        <f aca="false">'Qté 2027'!AP122*$C122</f>
        <v>0</v>
      </c>
      <c r="AQ122" s="23" t="n">
        <f aca="false">'Qté 2027'!AQ122*$C122</f>
        <v>0.384</v>
      </c>
      <c r="AR122" s="23" t="n">
        <f aca="false">'Qté 2027'!AR122*$C122</f>
        <v>0.816</v>
      </c>
      <c r="AS122" s="23" t="n">
        <f aca="false">'Qté 2027'!AS122*$C122</f>
        <v>0.384</v>
      </c>
      <c r="AT122" s="23" t="n">
        <f aca="false">'Qté 2027'!AT122*$C122</f>
        <v>0</v>
      </c>
      <c r="AU122" s="23" t="n">
        <f aca="false">'Qté 2027'!AU122*$C122</f>
        <v>0.144</v>
      </c>
      <c r="AV122" s="23" t="n">
        <f aca="false">'Qté 2027'!AV122*$C122</f>
        <v>3.12</v>
      </c>
      <c r="AW122" s="23" t="n">
        <f aca="false">'Qté 2027'!AW122*$C122</f>
        <v>5.76</v>
      </c>
      <c r="AX122" s="23" t="n">
        <f aca="false">'Qté 2027'!AX122*$C122</f>
        <v>2.784</v>
      </c>
      <c r="AY122" s="23" t="n">
        <f aca="false">'Qté 2027'!AY122*$C122</f>
        <v>0</v>
      </c>
      <c r="AZ122" s="23" t="n">
        <f aca="false">'Qté 2027'!AZ122*$C122</f>
        <v>0</v>
      </c>
      <c r="BA122" s="23" t="n">
        <f aca="false">'Qté 2027'!BA122*$C122</f>
        <v>0</v>
      </c>
      <c r="BB122" s="23" t="n">
        <f aca="false">'Qté 2027'!BB122*$C122</f>
        <v>0</v>
      </c>
      <c r="BC122" s="23" t="n">
        <f aca="false">'Qté 2027'!BC122*$C122</f>
        <v>0</v>
      </c>
      <c r="BD122" s="15" t="n">
        <f aca="false">SUM(D122:BC122)</f>
        <v>23.424</v>
      </c>
    </row>
    <row r="123" customFormat="false" ht="15" hidden="false" customHeight="false" outlineLevel="0" collapsed="false">
      <c r="A123" s="5" t="s">
        <v>299</v>
      </c>
      <c r="B123" s="5" t="s">
        <v>45</v>
      </c>
      <c r="C123" s="22" t="n">
        <v>21.08</v>
      </c>
      <c r="D123" s="23" t="n">
        <f aca="false">'Qté 2027'!D123*$C123</f>
        <v>0</v>
      </c>
      <c r="E123" s="23" t="n">
        <f aca="false">'Qté 2027'!E123*$C123</f>
        <v>0</v>
      </c>
      <c r="F123" s="23" t="n">
        <f aca="false">'Qté 2027'!F123*$C123</f>
        <v>0</v>
      </c>
      <c r="G123" s="23" t="n">
        <f aca="false">'Qté 2027'!G123*$C123</f>
        <v>0</v>
      </c>
      <c r="H123" s="23" t="n">
        <f aca="false">'Qté 2027'!H123*$C123</f>
        <v>0</v>
      </c>
      <c r="I123" s="23" t="n">
        <f aca="false">'Qté 2027'!I123*$C123</f>
        <v>0</v>
      </c>
      <c r="J123" s="23" t="n">
        <f aca="false">'Qté 2027'!J123*$C123</f>
        <v>0</v>
      </c>
      <c r="K123" s="23" t="n">
        <f aca="false">'Qté 2027'!K123*$C123</f>
        <v>0</v>
      </c>
      <c r="L123" s="23" t="n">
        <f aca="false">'Qté 2027'!L123*$C123</f>
        <v>0</v>
      </c>
      <c r="M123" s="23" t="n">
        <f aca="false">'Qté 2027'!M123*$C123</f>
        <v>0</v>
      </c>
      <c r="N123" s="23" t="n">
        <f aca="false">'Qté 2027'!N123*$C123</f>
        <v>0.4216</v>
      </c>
      <c r="O123" s="23" t="n">
        <f aca="false">'Qté 2027'!O123*$C123</f>
        <v>1.6864</v>
      </c>
      <c r="P123" s="23" t="n">
        <f aca="false">'Qté 2027'!P123*$C123</f>
        <v>1.8972</v>
      </c>
      <c r="Q123" s="23" t="n">
        <f aca="false">'Qté 2027'!Q123*$C123</f>
        <v>1.2648</v>
      </c>
      <c r="R123" s="23" t="n">
        <f aca="false">'Qté 2027'!R123*$C123</f>
        <v>1.054</v>
      </c>
      <c r="S123" s="23" t="n">
        <f aca="false">'Qté 2027'!S123*$C123</f>
        <v>0.4216</v>
      </c>
      <c r="T123" s="23" t="n">
        <f aca="false">'Qté 2027'!T123*$C123</f>
        <v>1.054</v>
      </c>
      <c r="U123" s="23" t="n">
        <f aca="false">'Qté 2027'!U123*$C123</f>
        <v>1.8972</v>
      </c>
      <c r="V123" s="23" t="n">
        <f aca="false">'Qté 2027'!V123*$C123</f>
        <v>1.8972</v>
      </c>
      <c r="W123" s="23" t="n">
        <f aca="false">'Qté 2027'!W123*$C123</f>
        <v>2.9512</v>
      </c>
      <c r="X123" s="23" t="n">
        <f aca="false">'Qté 2027'!X123*$C123</f>
        <v>2.9512</v>
      </c>
      <c r="Y123" s="23" t="n">
        <f aca="false">'Qté 2027'!Y123*$C123</f>
        <v>1.054</v>
      </c>
      <c r="Z123" s="23" t="n">
        <f aca="false">'Qté 2027'!Z123*$C123</f>
        <v>0</v>
      </c>
      <c r="AA123" s="23" t="n">
        <f aca="false">'Qté 2027'!AA123*$C123</f>
        <v>0</v>
      </c>
      <c r="AB123" s="23" t="n">
        <f aca="false">'Qté 2027'!AB123*$C123</f>
        <v>0</v>
      </c>
      <c r="AC123" s="23" t="n">
        <f aca="false">'Qté 2027'!AC123*$C123</f>
        <v>1.2648</v>
      </c>
      <c r="AD123" s="23" t="n">
        <f aca="false">'Qté 2027'!AD123*$C123</f>
        <v>2.3188</v>
      </c>
      <c r="AE123" s="23" t="n">
        <f aca="false">'Qté 2027'!AE123*$C123</f>
        <v>1.2648</v>
      </c>
      <c r="AF123" s="23" t="n">
        <f aca="false">'Qté 2027'!AF123*$C123</f>
        <v>0</v>
      </c>
      <c r="AG123" s="23" t="n">
        <f aca="false">'Qté 2027'!AG123*$C123</f>
        <v>0</v>
      </c>
      <c r="AH123" s="23" t="n">
        <f aca="false">'Qté 2027'!AH123*$C123</f>
        <v>0</v>
      </c>
      <c r="AI123" s="23" t="n">
        <f aca="false">'Qté 2027'!AI123*$C123</f>
        <v>0</v>
      </c>
      <c r="AJ123" s="23" t="n">
        <f aca="false">'Qté 2027'!AJ123*$C123</f>
        <v>0</v>
      </c>
      <c r="AK123" s="23" t="n">
        <f aca="false">'Qté 2027'!AK123*$C123</f>
        <v>0</v>
      </c>
      <c r="AL123" s="23" t="n">
        <f aca="false">'Qté 2027'!AL123*$C123</f>
        <v>0</v>
      </c>
      <c r="AM123" s="23" t="n">
        <f aca="false">'Qté 2027'!AM123*$C123</f>
        <v>0</v>
      </c>
      <c r="AN123" s="23" t="n">
        <f aca="false">'Qté 2027'!AN123*$C123</f>
        <v>0</v>
      </c>
      <c r="AO123" s="23" t="n">
        <f aca="false">'Qté 2027'!AO123*$C123</f>
        <v>0</v>
      </c>
      <c r="AP123" s="23" t="n">
        <f aca="false">'Qté 2027'!AP123*$C123</f>
        <v>0</v>
      </c>
      <c r="AQ123" s="23" t="n">
        <f aca="false">'Qté 2027'!AQ123*$C123</f>
        <v>0</v>
      </c>
      <c r="AR123" s="23" t="n">
        <f aca="false">'Qté 2027'!AR123*$C123</f>
        <v>0</v>
      </c>
      <c r="AS123" s="23" t="n">
        <f aca="false">'Qté 2027'!AS123*$C123</f>
        <v>0</v>
      </c>
      <c r="AT123" s="23" t="n">
        <f aca="false">'Qté 2027'!AT123*$C123</f>
        <v>0</v>
      </c>
      <c r="AU123" s="23" t="n">
        <f aca="false">'Qté 2027'!AU123*$C123</f>
        <v>0</v>
      </c>
      <c r="AV123" s="23" t="n">
        <f aca="false">'Qté 2027'!AV123*$C123</f>
        <v>0</v>
      </c>
      <c r="AW123" s="23" t="n">
        <f aca="false">'Qté 2027'!AW123*$C123</f>
        <v>0</v>
      </c>
      <c r="AX123" s="23" t="n">
        <f aca="false">'Qté 2027'!AX123*$C123</f>
        <v>0</v>
      </c>
      <c r="AY123" s="23" t="n">
        <f aca="false">'Qté 2027'!AY123*$C123</f>
        <v>0</v>
      </c>
      <c r="AZ123" s="23" t="n">
        <f aca="false">'Qté 2027'!AZ123*$C123</f>
        <v>0</v>
      </c>
      <c r="BA123" s="23" t="n">
        <f aca="false">'Qté 2027'!BA123*$C123</f>
        <v>0</v>
      </c>
      <c r="BB123" s="23" t="n">
        <f aca="false">'Qté 2027'!BB123*$C123</f>
        <v>0</v>
      </c>
      <c r="BC123" s="23" t="n">
        <f aca="false">'Qté 2027'!BC123*$C123</f>
        <v>0</v>
      </c>
      <c r="BD123" s="15" t="n">
        <f aca="false">SUM(D123:BC123)</f>
        <v>23.3988</v>
      </c>
    </row>
    <row r="124" customFormat="false" ht="15" hidden="false" customHeight="false" outlineLevel="0" collapsed="false">
      <c r="A124" s="5" t="s">
        <v>300</v>
      </c>
      <c r="B124" s="5" t="s">
        <v>69</v>
      </c>
      <c r="C124" s="22" t="n">
        <v>62.28</v>
      </c>
      <c r="D124" s="23" t="n">
        <f aca="false">'Qté 2027'!D124*$C124</f>
        <v>0</v>
      </c>
      <c r="E124" s="23" t="n">
        <f aca="false">'Qté 2027'!E124*$C124</f>
        <v>0</v>
      </c>
      <c r="F124" s="23" t="n">
        <f aca="false">'Qté 2027'!F124*$C124</f>
        <v>0</v>
      </c>
      <c r="G124" s="23" t="n">
        <f aca="false">'Qté 2027'!G124*$C124</f>
        <v>0</v>
      </c>
      <c r="H124" s="23" t="n">
        <f aca="false">'Qté 2027'!H124*$C124</f>
        <v>0</v>
      </c>
      <c r="I124" s="23" t="n">
        <f aca="false">'Qté 2027'!I124*$C124</f>
        <v>0</v>
      </c>
      <c r="J124" s="23" t="n">
        <f aca="false">'Qté 2027'!J124*$C124</f>
        <v>0</v>
      </c>
      <c r="K124" s="23" t="n">
        <f aca="false">'Qté 2027'!K124*$C124</f>
        <v>0</v>
      </c>
      <c r="L124" s="23" t="n">
        <f aca="false">'Qté 2027'!L124*$C124</f>
        <v>0</v>
      </c>
      <c r="M124" s="23" t="n">
        <f aca="false">'Qté 2027'!M124*$C124</f>
        <v>0</v>
      </c>
      <c r="N124" s="23" t="n">
        <f aca="false">'Qté 2027'!N124*$C124</f>
        <v>0</v>
      </c>
      <c r="O124" s="23" t="n">
        <f aca="false">'Qté 2027'!O124*$C124</f>
        <v>0</v>
      </c>
      <c r="P124" s="23" t="n">
        <f aca="false">'Qté 2027'!P124*$C124</f>
        <v>0</v>
      </c>
      <c r="Q124" s="23" t="n">
        <f aca="false">'Qté 2027'!Q124*$C124</f>
        <v>0</v>
      </c>
      <c r="R124" s="23" t="n">
        <f aca="false">'Qté 2027'!R124*$C124</f>
        <v>0</v>
      </c>
      <c r="S124" s="23" t="n">
        <f aca="false">'Qté 2027'!S124*$C124</f>
        <v>0</v>
      </c>
      <c r="T124" s="23" t="n">
        <f aca="false">'Qté 2027'!T124*$C124</f>
        <v>0</v>
      </c>
      <c r="U124" s="23" t="n">
        <f aca="false">'Qté 2027'!U124*$C124</f>
        <v>0</v>
      </c>
      <c r="V124" s="23" t="n">
        <f aca="false">'Qté 2027'!V124*$C124</f>
        <v>0</v>
      </c>
      <c r="W124" s="23" t="n">
        <f aca="false">'Qté 2027'!W124*$C124</f>
        <v>5.6052</v>
      </c>
      <c r="X124" s="23" t="n">
        <f aca="false">'Qté 2027'!X124*$C124</f>
        <v>11.2104</v>
      </c>
      <c r="Y124" s="23" t="n">
        <f aca="false">'Qté 2027'!Y124*$C124</f>
        <v>5.6052</v>
      </c>
      <c r="Z124" s="23" t="n">
        <f aca="false">'Qté 2027'!Z124*$C124</f>
        <v>0</v>
      </c>
      <c r="AA124" s="23" t="n">
        <f aca="false">'Qté 2027'!AA124*$C124</f>
        <v>0</v>
      </c>
      <c r="AB124" s="23" t="n">
        <f aca="false">'Qté 2027'!AB124*$C124</f>
        <v>0</v>
      </c>
      <c r="AC124" s="23" t="n">
        <f aca="false">'Qté 2027'!AC124*$C124</f>
        <v>0</v>
      </c>
      <c r="AD124" s="23" t="n">
        <f aca="false">'Qté 2027'!AD124*$C124</f>
        <v>0</v>
      </c>
      <c r="AE124" s="23" t="n">
        <f aca="false">'Qté 2027'!AE124*$C124</f>
        <v>0</v>
      </c>
      <c r="AF124" s="23" t="n">
        <f aca="false">'Qté 2027'!AF124*$C124</f>
        <v>0</v>
      </c>
      <c r="AG124" s="23" t="n">
        <f aca="false">'Qté 2027'!AG124*$C124</f>
        <v>0</v>
      </c>
      <c r="AH124" s="23" t="n">
        <f aca="false">'Qté 2027'!AH124*$C124</f>
        <v>0</v>
      </c>
      <c r="AI124" s="23" t="n">
        <f aca="false">'Qté 2027'!AI124*$C124</f>
        <v>0</v>
      </c>
      <c r="AJ124" s="23" t="n">
        <f aca="false">'Qté 2027'!AJ124*$C124</f>
        <v>0</v>
      </c>
      <c r="AK124" s="23" t="n">
        <f aca="false">'Qté 2027'!AK124*$C124</f>
        <v>0</v>
      </c>
      <c r="AL124" s="23" t="n">
        <f aca="false">'Qté 2027'!AL124*$C124</f>
        <v>0</v>
      </c>
      <c r="AM124" s="23" t="n">
        <f aca="false">'Qté 2027'!AM124*$C124</f>
        <v>0</v>
      </c>
      <c r="AN124" s="23" t="n">
        <f aca="false">'Qté 2027'!AN124*$C124</f>
        <v>0</v>
      </c>
      <c r="AO124" s="23" t="n">
        <f aca="false">'Qté 2027'!AO124*$C124</f>
        <v>0</v>
      </c>
      <c r="AP124" s="23" t="n">
        <f aca="false">'Qté 2027'!AP124*$C124</f>
        <v>0</v>
      </c>
      <c r="AQ124" s="23" t="n">
        <f aca="false">'Qté 2027'!AQ124*$C124</f>
        <v>0</v>
      </c>
      <c r="AR124" s="23" t="n">
        <f aca="false">'Qté 2027'!AR124*$C124</f>
        <v>0</v>
      </c>
      <c r="AS124" s="23" t="n">
        <f aca="false">'Qté 2027'!AS124*$C124</f>
        <v>0</v>
      </c>
      <c r="AT124" s="23" t="n">
        <f aca="false">'Qté 2027'!AT124*$C124</f>
        <v>0</v>
      </c>
      <c r="AU124" s="23" t="n">
        <f aca="false">'Qté 2027'!AU124*$C124</f>
        <v>0</v>
      </c>
      <c r="AV124" s="23" t="n">
        <f aca="false">'Qté 2027'!AV124*$C124</f>
        <v>0</v>
      </c>
      <c r="AW124" s="23" t="n">
        <f aca="false">'Qté 2027'!AW124*$C124</f>
        <v>0</v>
      </c>
      <c r="AX124" s="23" t="n">
        <f aca="false">'Qté 2027'!AX124*$C124</f>
        <v>0</v>
      </c>
      <c r="AY124" s="23" t="n">
        <f aca="false">'Qté 2027'!AY124*$C124</f>
        <v>0</v>
      </c>
      <c r="AZ124" s="23" t="n">
        <f aca="false">'Qté 2027'!AZ124*$C124</f>
        <v>0</v>
      </c>
      <c r="BA124" s="23" t="n">
        <f aca="false">'Qté 2027'!BA124*$C124</f>
        <v>0</v>
      </c>
      <c r="BB124" s="23" t="n">
        <f aca="false">'Qté 2027'!BB124*$C124</f>
        <v>0</v>
      </c>
      <c r="BC124" s="23" t="n">
        <f aca="false">'Qté 2027'!BC124*$C124</f>
        <v>0</v>
      </c>
      <c r="BD124" s="15" t="n">
        <f aca="false">SUM(D124:BC124)</f>
        <v>22.4208</v>
      </c>
    </row>
    <row r="125" customFormat="false" ht="15" hidden="false" customHeight="false" outlineLevel="0" collapsed="false">
      <c r="A125" s="5" t="s">
        <v>301</v>
      </c>
      <c r="B125" s="5" t="s">
        <v>57</v>
      </c>
      <c r="C125" s="22" t="n">
        <v>39.36</v>
      </c>
      <c r="D125" s="23" t="n">
        <f aca="false">'Qté 2027'!D125*$C125</f>
        <v>0</v>
      </c>
      <c r="E125" s="23" t="n">
        <f aca="false">'Qté 2027'!E125*$C125</f>
        <v>0</v>
      </c>
      <c r="F125" s="23" t="n">
        <f aca="false">'Qté 2027'!F125*$C125</f>
        <v>0</v>
      </c>
      <c r="G125" s="23" t="n">
        <f aca="false">'Qté 2027'!G125*$C125</f>
        <v>0</v>
      </c>
      <c r="H125" s="23" t="n">
        <f aca="false">'Qté 2027'!H125*$C125</f>
        <v>0</v>
      </c>
      <c r="I125" s="23" t="n">
        <f aca="false">'Qté 2027'!I125*$C125</f>
        <v>0</v>
      </c>
      <c r="J125" s="23" t="n">
        <f aca="false">'Qté 2027'!J125*$C125</f>
        <v>0</v>
      </c>
      <c r="K125" s="23" t="n">
        <f aca="false">'Qté 2027'!K125*$C125</f>
        <v>0</v>
      </c>
      <c r="L125" s="23" t="n">
        <f aca="false">'Qté 2027'!L125*$C125</f>
        <v>0</v>
      </c>
      <c r="M125" s="23" t="n">
        <f aca="false">'Qté 2027'!M125*$C125</f>
        <v>0</v>
      </c>
      <c r="N125" s="23" t="n">
        <f aca="false">'Qté 2027'!N125*$C125</f>
        <v>0</v>
      </c>
      <c r="O125" s="23" t="n">
        <f aca="false">'Qté 2027'!O125*$C125</f>
        <v>0</v>
      </c>
      <c r="P125" s="23" t="n">
        <f aca="false">'Qté 2027'!P125*$C125</f>
        <v>0</v>
      </c>
      <c r="Q125" s="23" t="n">
        <f aca="false">'Qté 2027'!Q125*$C125</f>
        <v>0</v>
      </c>
      <c r="R125" s="23" t="n">
        <f aca="false">'Qté 2027'!R125*$C125</f>
        <v>0</v>
      </c>
      <c r="S125" s="23" t="n">
        <f aca="false">'Qté 2027'!S125*$C125</f>
        <v>0</v>
      </c>
      <c r="T125" s="23" t="n">
        <f aca="false">'Qté 2027'!T125*$C125</f>
        <v>0</v>
      </c>
      <c r="U125" s="23" t="n">
        <f aca="false">'Qté 2027'!U125*$C125</f>
        <v>0</v>
      </c>
      <c r="V125" s="23" t="n">
        <f aca="false">'Qté 2027'!V125*$C125</f>
        <v>0</v>
      </c>
      <c r="W125" s="23" t="n">
        <f aca="false">'Qté 2027'!W125*$C125</f>
        <v>0</v>
      </c>
      <c r="X125" s="23" t="n">
        <f aca="false">'Qté 2027'!X125*$C125</f>
        <v>0</v>
      </c>
      <c r="Y125" s="23" t="n">
        <f aca="false">'Qté 2027'!Y125*$C125</f>
        <v>0.7872</v>
      </c>
      <c r="Z125" s="23" t="n">
        <f aca="false">'Qté 2027'!Z125*$C125</f>
        <v>3.1488</v>
      </c>
      <c r="AA125" s="23" t="n">
        <f aca="false">'Qté 2027'!AA125*$C125</f>
        <v>3.5424</v>
      </c>
      <c r="AB125" s="23" t="n">
        <f aca="false">'Qté 2027'!AB125*$C125</f>
        <v>1.1808</v>
      </c>
      <c r="AC125" s="23" t="n">
        <f aca="false">'Qté 2027'!AC125*$C125</f>
        <v>0</v>
      </c>
      <c r="AD125" s="23" t="n">
        <f aca="false">'Qté 2027'!AD125*$C125</f>
        <v>0</v>
      </c>
      <c r="AE125" s="23" t="n">
        <f aca="false">'Qté 2027'!AE125*$C125</f>
        <v>3.1488</v>
      </c>
      <c r="AF125" s="23" t="n">
        <f aca="false">'Qté 2027'!AF125*$C125</f>
        <v>6.6912</v>
      </c>
      <c r="AG125" s="23" t="n">
        <f aca="false">'Qté 2027'!AG125*$C125</f>
        <v>3.1488</v>
      </c>
      <c r="AH125" s="23" t="n">
        <f aca="false">'Qté 2027'!AH125*$C125</f>
        <v>0</v>
      </c>
      <c r="AI125" s="23" t="n">
        <f aca="false">'Qté 2027'!AI125*$C125</f>
        <v>0</v>
      </c>
      <c r="AJ125" s="23" t="n">
        <f aca="false">'Qté 2027'!AJ125*$C125</f>
        <v>0</v>
      </c>
      <c r="AK125" s="23" t="n">
        <f aca="false">'Qté 2027'!AK125*$C125</f>
        <v>0</v>
      </c>
      <c r="AL125" s="23" t="n">
        <f aca="false">'Qté 2027'!AL125*$C125</f>
        <v>0</v>
      </c>
      <c r="AM125" s="23" t="n">
        <f aca="false">'Qté 2027'!AM125*$C125</f>
        <v>0</v>
      </c>
      <c r="AN125" s="23" t="n">
        <f aca="false">'Qté 2027'!AN125*$C125</f>
        <v>0</v>
      </c>
      <c r="AO125" s="23" t="n">
        <f aca="false">'Qté 2027'!AO125*$C125</f>
        <v>0</v>
      </c>
      <c r="AP125" s="23" t="n">
        <f aca="false">'Qté 2027'!AP125*$C125</f>
        <v>0</v>
      </c>
      <c r="AQ125" s="23" t="n">
        <f aca="false">'Qté 2027'!AQ125*$C125</f>
        <v>0</v>
      </c>
      <c r="AR125" s="23" t="n">
        <f aca="false">'Qté 2027'!AR125*$C125</f>
        <v>0</v>
      </c>
      <c r="AS125" s="23" t="n">
        <f aca="false">'Qté 2027'!AS125*$C125</f>
        <v>0</v>
      </c>
      <c r="AT125" s="23" t="n">
        <f aca="false">'Qté 2027'!AT125*$C125</f>
        <v>0</v>
      </c>
      <c r="AU125" s="23" t="n">
        <f aca="false">'Qté 2027'!AU125*$C125</f>
        <v>0</v>
      </c>
      <c r="AV125" s="23" t="n">
        <f aca="false">'Qté 2027'!AV125*$C125</f>
        <v>0</v>
      </c>
      <c r="AW125" s="23" t="n">
        <f aca="false">'Qté 2027'!AW125*$C125</f>
        <v>0</v>
      </c>
      <c r="AX125" s="23" t="n">
        <f aca="false">'Qté 2027'!AX125*$C125</f>
        <v>0</v>
      </c>
      <c r="AY125" s="23" t="n">
        <f aca="false">'Qté 2027'!AY125*$C125</f>
        <v>0</v>
      </c>
      <c r="AZ125" s="23" t="n">
        <f aca="false">'Qté 2027'!AZ125*$C125</f>
        <v>0</v>
      </c>
      <c r="BA125" s="23" t="n">
        <f aca="false">'Qté 2027'!BA125*$C125</f>
        <v>0</v>
      </c>
      <c r="BB125" s="23" t="n">
        <f aca="false">'Qté 2027'!BB125*$C125</f>
        <v>0</v>
      </c>
      <c r="BC125" s="23" t="n">
        <f aca="false">'Qté 2027'!BC125*$C125</f>
        <v>0</v>
      </c>
      <c r="BD125" s="15" t="n">
        <f aca="false">SUM(D125:BC125)</f>
        <v>21.648</v>
      </c>
    </row>
    <row r="126" customFormat="false" ht="15" hidden="false" customHeight="false" outlineLevel="0" collapsed="false">
      <c r="A126" s="5" t="s">
        <v>302</v>
      </c>
      <c r="B126" s="5" t="s">
        <v>69</v>
      </c>
      <c r="C126" s="22" t="n">
        <v>9.24</v>
      </c>
      <c r="D126" s="23" t="n">
        <f aca="false">'Qté 2027'!D126*$C126</f>
        <v>0</v>
      </c>
      <c r="E126" s="23" t="n">
        <f aca="false">'Qté 2027'!E126*$C126</f>
        <v>0</v>
      </c>
      <c r="F126" s="23" t="n">
        <f aca="false">'Qté 2027'!F126*$C126</f>
        <v>0</v>
      </c>
      <c r="G126" s="23" t="n">
        <f aca="false">'Qté 2027'!G126*$C126</f>
        <v>0</v>
      </c>
      <c r="H126" s="23" t="n">
        <f aca="false">'Qté 2027'!H126*$C126</f>
        <v>0</v>
      </c>
      <c r="I126" s="23" t="n">
        <f aca="false">'Qté 2027'!I126*$C126</f>
        <v>0</v>
      </c>
      <c r="J126" s="23" t="n">
        <f aca="false">'Qté 2027'!J126*$C126</f>
        <v>0</v>
      </c>
      <c r="K126" s="23" t="n">
        <f aca="false">'Qté 2027'!K126*$C126</f>
        <v>0</v>
      </c>
      <c r="L126" s="23" t="n">
        <f aca="false">'Qté 2027'!L126*$C126</f>
        <v>0</v>
      </c>
      <c r="M126" s="23" t="n">
        <f aca="false">'Qté 2027'!M126*$C126</f>
        <v>0</v>
      </c>
      <c r="N126" s="23" t="n">
        <f aca="false">'Qté 2027'!N126*$C126</f>
        <v>0</v>
      </c>
      <c r="O126" s="23" t="n">
        <f aca="false">'Qté 2027'!O126*$C126</f>
        <v>0</v>
      </c>
      <c r="P126" s="23" t="n">
        <f aca="false">'Qté 2027'!P126*$C126</f>
        <v>0</v>
      </c>
      <c r="Q126" s="23" t="n">
        <f aca="false">'Qté 2027'!Q126*$C126</f>
        <v>0</v>
      </c>
      <c r="R126" s="23" t="n">
        <f aca="false">'Qté 2027'!R126*$C126</f>
        <v>0</v>
      </c>
      <c r="S126" s="23" t="n">
        <f aca="false">'Qté 2027'!S126*$C126</f>
        <v>0</v>
      </c>
      <c r="T126" s="23" t="n">
        <f aca="false">'Qté 2027'!T126*$C126</f>
        <v>0</v>
      </c>
      <c r="U126" s="23" t="n">
        <f aca="false">'Qté 2027'!U126*$C126</f>
        <v>0</v>
      </c>
      <c r="V126" s="23" t="n">
        <f aca="false">'Qté 2027'!V126*$C126</f>
        <v>0</v>
      </c>
      <c r="W126" s="23" t="n">
        <f aca="false">'Qté 2027'!W126*$C126</f>
        <v>0</v>
      </c>
      <c r="X126" s="23" t="n">
        <f aca="false">'Qté 2027'!X126*$C126</f>
        <v>0</v>
      </c>
      <c r="Y126" s="23" t="n">
        <f aca="false">'Qté 2027'!Y126*$C126</f>
        <v>0</v>
      </c>
      <c r="Z126" s="23" t="n">
        <f aca="false">'Qté 2027'!Z126*$C126</f>
        <v>0</v>
      </c>
      <c r="AA126" s="23" t="n">
        <f aca="false">'Qté 2027'!AA126*$C126</f>
        <v>0</v>
      </c>
      <c r="AB126" s="23" t="n">
        <f aca="false">'Qté 2027'!AB126*$C126</f>
        <v>0</v>
      </c>
      <c r="AC126" s="23" t="n">
        <f aca="false">'Qté 2027'!AC126*$C126</f>
        <v>0</v>
      </c>
      <c r="AD126" s="23" t="n">
        <f aca="false">'Qté 2027'!AD126*$C126</f>
        <v>0</v>
      </c>
      <c r="AE126" s="23" t="n">
        <f aca="false">'Qté 2027'!AE126*$C126</f>
        <v>0</v>
      </c>
      <c r="AF126" s="23" t="n">
        <f aca="false">'Qté 2027'!AF126*$C126</f>
        <v>0</v>
      </c>
      <c r="AG126" s="23" t="n">
        <f aca="false">'Qté 2027'!AG126*$C126</f>
        <v>2.1252</v>
      </c>
      <c r="AH126" s="23" t="n">
        <f aca="false">'Qté 2027'!AH126*$C126</f>
        <v>4.3428</v>
      </c>
      <c r="AI126" s="23" t="n">
        <f aca="false">'Qté 2027'!AI126*$C126</f>
        <v>5.3592</v>
      </c>
      <c r="AJ126" s="23" t="n">
        <f aca="false">'Qté 2027'!AJ126*$C126</f>
        <v>6.468</v>
      </c>
      <c r="AK126" s="23" t="n">
        <f aca="false">'Qté 2027'!AK126*$C126</f>
        <v>3.234</v>
      </c>
      <c r="AL126" s="23" t="n">
        <f aca="false">'Qté 2027'!AL126*$C126</f>
        <v>0</v>
      </c>
      <c r="AM126" s="23" t="n">
        <f aca="false">'Qté 2027'!AM126*$C126</f>
        <v>0</v>
      </c>
      <c r="AN126" s="23" t="n">
        <f aca="false">'Qté 2027'!AN126*$C126</f>
        <v>0</v>
      </c>
      <c r="AO126" s="23" t="n">
        <f aca="false">'Qté 2027'!AO126*$C126</f>
        <v>0</v>
      </c>
      <c r="AP126" s="23" t="n">
        <f aca="false">'Qté 2027'!AP126*$C126</f>
        <v>0</v>
      </c>
      <c r="AQ126" s="23" t="n">
        <f aca="false">'Qté 2027'!AQ126*$C126</f>
        <v>0</v>
      </c>
      <c r="AR126" s="23" t="n">
        <f aca="false">'Qté 2027'!AR126*$C126</f>
        <v>0</v>
      </c>
      <c r="AS126" s="23" t="n">
        <f aca="false">'Qté 2027'!AS126*$C126</f>
        <v>0</v>
      </c>
      <c r="AT126" s="23" t="n">
        <f aca="false">'Qté 2027'!AT126*$C126</f>
        <v>0</v>
      </c>
      <c r="AU126" s="23" t="n">
        <f aca="false">'Qté 2027'!AU126*$C126</f>
        <v>0</v>
      </c>
      <c r="AV126" s="23" t="n">
        <f aca="false">'Qté 2027'!AV126*$C126</f>
        <v>0</v>
      </c>
      <c r="AW126" s="23" t="n">
        <f aca="false">'Qté 2027'!AW126*$C126</f>
        <v>0</v>
      </c>
      <c r="AX126" s="23" t="n">
        <f aca="false">'Qté 2027'!AX126*$C126</f>
        <v>0</v>
      </c>
      <c r="AY126" s="23" t="n">
        <f aca="false">'Qté 2027'!AY126*$C126</f>
        <v>0</v>
      </c>
      <c r="AZ126" s="23" t="n">
        <f aca="false">'Qté 2027'!AZ126*$C126</f>
        <v>0</v>
      </c>
      <c r="BA126" s="23" t="n">
        <f aca="false">'Qté 2027'!BA126*$C126</f>
        <v>0</v>
      </c>
      <c r="BB126" s="23" t="n">
        <f aca="false">'Qté 2027'!BB126*$C126</f>
        <v>0</v>
      </c>
      <c r="BC126" s="23" t="n">
        <f aca="false">'Qté 2027'!BC126*$C126</f>
        <v>0</v>
      </c>
      <c r="BD126" s="15" t="n">
        <f aca="false">SUM(D126:BC126)</f>
        <v>21.5292</v>
      </c>
    </row>
    <row r="127" customFormat="false" ht="15" hidden="false" customHeight="false" outlineLevel="0" collapsed="false">
      <c r="A127" s="5" t="s">
        <v>303</v>
      </c>
      <c r="B127" s="5" t="s">
        <v>45</v>
      </c>
      <c r="C127" s="22" t="n">
        <v>56.4</v>
      </c>
      <c r="D127" s="23" t="n">
        <f aca="false">'Qté 2027'!D127*$C127</f>
        <v>0</v>
      </c>
      <c r="E127" s="23" t="n">
        <f aca="false">'Qté 2027'!E127*$C127</f>
        <v>0</v>
      </c>
      <c r="F127" s="23" t="n">
        <f aca="false">'Qté 2027'!F127*$C127</f>
        <v>0</v>
      </c>
      <c r="G127" s="23" t="n">
        <f aca="false">'Qté 2027'!G127*$C127</f>
        <v>0</v>
      </c>
      <c r="H127" s="23" t="n">
        <f aca="false">'Qté 2027'!H127*$C127</f>
        <v>0</v>
      </c>
      <c r="I127" s="23" t="n">
        <f aca="false">'Qté 2027'!I127*$C127</f>
        <v>0</v>
      </c>
      <c r="J127" s="23" t="n">
        <f aca="false">'Qté 2027'!J127*$C127</f>
        <v>0</v>
      </c>
      <c r="K127" s="23" t="n">
        <f aca="false">'Qté 2027'!K127*$C127</f>
        <v>0</v>
      </c>
      <c r="L127" s="23" t="n">
        <f aca="false">'Qté 2027'!L127*$C127</f>
        <v>0</v>
      </c>
      <c r="M127" s="23" t="n">
        <f aca="false">'Qté 2027'!M127*$C127</f>
        <v>0</v>
      </c>
      <c r="N127" s="23" t="n">
        <f aca="false">'Qté 2027'!N127*$C127</f>
        <v>0</v>
      </c>
      <c r="O127" s="23" t="n">
        <f aca="false">'Qté 2027'!O127*$C127</f>
        <v>0</v>
      </c>
      <c r="P127" s="23" t="n">
        <f aca="false">'Qté 2027'!P127*$C127</f>
        <v>0</v>
      </c>
      <c r="Q127" s="23" t="n">
        <f aca="false">'Qté 2027'!Q127*$C127</f>
        <v>0</v>
      </c>
      <c r="R127" s="23" t="n">
        <f aca="false">'Qté 2027'!R127*$C127</f>
        <v>0</v>
      </c>
      <c r="S127" s="23" t="n">
        <f aca="false">'Qté 2027'!S127*$C127</f>
        <v>0</v>
      </c>
      <c r="T127" s="23" t="n">
        <f aca="false">'Qté 2027'!T127*$C127</f>
        <v>0</v>
      </c>
      <c r="U127" s="23" t="n">
        <f aca="false">'Qté 2027'!U127*$C127</f>
        <v>0</v>
      </c>
      <c r="V127" s="23" t="n">
        <f aca="false">'Qté 2027'!V127*$C127</f>
        <v>0</v>
      </c>
      <c r="W127" s="23" t="n">
        <f aca="false">'Qté 2027'!W127*$C127</f>
        <v>0</v>
      </c>
      <c r="X127" s="23" t="n">
        <f aca="false">'Qté 2027'!X127*$C127</f>
        <v>0</v>
      </c>
      <c r="Y127" s="23" t="n">
        <f aca="false">'Qté 2027'!Y127*$C127</f>
        <v>0</v>
      </c>
      <c r="Z127" s="23" t="n">
        <f aca="false">'Qté 2027'!Z127*$C127</f>
        <v>5.076</v>
      </c>
      <c r="AA127" s="23" t="n">
        <f aca="false">'Qté 2027'!AA127*$C127</f>
        <v>10.152</v>
      </c>
      <c r="AB127" s="23" t="n">
        <f aca="false">'Qté 2027'!AB127*$C127</f>
        <v>5.076</v>
      </c>
      <c r="AC127" s="23" t="n">
        <f aca="false">'Qté 2027'!AC127*$C127</f>
        <v>0</v>
      </c>
      <c r="AD127" s="23" t="n">
        <f aca="false">'Qté 2027'!AD127*$C127</f>
        <v>0</v>
      </c>
      <c r="AE127" s="23" t="n">
        <f aca="false">'Qté 2027'!AE127*$C127</f>
        <v>0</v>
      </c>
      <c r="AF127" s="23" t="n">
        <f aca="false">'Qté 2027'!AF127*$C127</f>
        <v>0</v>
      </c>
      <c r="AG127" s="23" t="n">
        <f aca="false">'Qté 2027'!AG127*$C127</f>
        <v>0</v>
      </c>
      <c r="AH127" s="23" t="n">
        <f aca="false">'Qté 2027'!AH127*$C127</f>
        <v>0</v>
      </c>
      <c r="AI127" s="23" t="n">
        <f aca="false">'Qté 2027'!AI127*$C127</f>
        <v>0</v>
      </c>
      <c r="AJ127" s="23" t="n">
        <f aca="false">'Qté 2027'!AJ127*$C127</f>
        <v>0</v>
      </c>
      <c r="AK127" s="23" t="n">
        <f aca="false">'Qté 2027'!AK127*$C127</f>
        <v>0</v>
      </c>
      <c r="AL127" s="23" t="n">
        <f aca="false">'Qté 2027'!AL127*$C127</f>
        <v>0</v>
      </c>
      <c r="AM127" s="23" t="n">
        <f aca="false">'Qté 2027'!AM127*$C127</f>
        <v>0</v>
      </c>
      <c r="AN127" s="23" t="n">
        <f aca="false">'Qté 2027'!AN127*$C127</f>
        <v>0</v>
      </c>
      <c r="AO127" s="23" t="n">
        <f aca="false">'Qté 2027'!AO127*$C127</f>
        <v>0</v>
      </c>
      <c r="AP127" s="23" t="n">
        <f aca="false">'Qté 2027'!AP127*$C127</f>
        <v>0</v>
      </c>
      <c r="AQ127" s="23" t="n">
        <f aca="false">'Qté 2027'!AQ127*$C127</f>
        <v>0</v>
      </c>
      <c r="AR127" s="23" t="n">
        <f aca="false">'Qté 2027'!AR127*$C127</f>
        <v>0</v>
      </c>
      <c r="AS127" s="23" t="n">
        <f aca="false">'Qté 2027'!AS127*$C127</f>
        <v>0</v>
      </c>
      <c r="AT127" s="23" t="n">
        <f aca="false">'Qté 2027'!AT127*$C127</f>
        <v>0</v>
      </c>
      <c r="AU127" s="23" t="n">
        <f aca="false">'Qté 2027'!AU127*$C127</f>
        <v>0</v>
      </c>
      <c r="AV127" s="23" t="n">
        <f aca="false">'Qté 2027'!AV127*$C127</f>
        <v>0</v>
      </c>
      <c r="AW127" s="23" t="n">
        <f aca="false">'Qté 2027'!AW127*$C127</f>
        <v>0</v>
      </c>
      <c r="AX127" s="23" t="n">
        <f aca="false">'Qté 2027'!AX127*$C127</f>
        <v>0</v>
      </c>
      <c r="AY127" s="23" t="n">
        <f aca="false">'Qté 2027'!AY127*$C127</f>
        <v>0</v>
      </c>
      <c r="AZ127" s="23" t="n">
        <f aca="false">'Qté 2027'!AZ127*$C127</f>
        <v>0</v>
      </c>
      <c r="BA127" s="23" t="n">
        <f aca="false">'Qté 2027'!BA127*$C127</f>
        <v>0</v>
      </c>
      <c r="BB127" s="23" t="n">
        <f aca="false">'Qté 2027'!BB127*$C127</f>
        <v>0</v>
      </c>
      <c r="BC127" s="23" t="n">
        <f aca="false">'Qté 2027'!BC127*$C127</f>
        <v>0</v>
      </c>
      <c r="BD127" s="15" t="n">
        <f aca="false">SUM(D127:BC127)</f>
        <v>20.304</v>
      </c>
    </row>
    <row r="128" customFormat="false" ht="15" hidden="false" customHeight="false" outlineLevel="0" collapsed="false">
      <c r="A128" s="5" t="s">
        <v>304</v>
      </c>
      <c r="B128" s="5" t="s">
        <v>45</v>
      </c>
      <c r="C128" s="22" t="n">
        <v>19.8</v>
      </c>
      <c r="D128" s="23" t="n">
        <f aca="false">'Qté 2027'!D128*$C128</f>
        <v>0</v>
      </c>
      <c r="E128" s="23" t="n">
        <f aca="false">'Qté 2027'!E128*$C128</f>
        <v>0</v>
      </c>
      <c r="F128" s="23" t="n">
        <f aca="false">'Qté 2027'!F128*$C128</f>
        <v>0</v>
      </c>
      <c r="G128" s="23" t="n">
        <f aca="false">'Qté 2027'!G128*$C128</f>
        <v>0</v>
      </c>
      <c r="H128" s="23" t="n">
        <f aca="false">'Qté 2027'!H128*$C128</f>
        <v>0</v>
      </c>
      <c r="I128" s="23" t="n">
        <f aca="false">'Qté 2027'!I128*$C128</f>
        <v>0</v>
      </c>
      <c r="J128" s="23" t="n">
        <f aca="false">'Qté 2027'!J128*$C128</f>
        <v>0</v>
      </c>
      <c r="K128" s="23" t="n">
        <f aca="false">'Qté 2027'!K128*$C128</f>
        <v>0</v>
      </c>
      <c r="L128" s="23" t="n">
        <f aca="false">'Qté 2027'!L128*$C128</f>
        <v>0</v>
      </c>
      <c r="M128" s="23" t="n">
        <f aca="false">'Qté 2027'!M128*$C128</f>
        <v>0</v>
      </c>
      <c r="N128" s="23" t="n">
        <f aca="false">'Qté 2027'!N128*$C128</f>
        <v>0</v>
      </c>
      <c r="O128" s="23" t="n">
        <f aca="false">'Qté 2027'!O128*$C128</f>
        <v>0</v>
      </c>
      <c r="P128" s="23" t="n">
        <f aca="false">'Qté 2027'!P128*$C128</f>
        <v>0</v>
      </c>
      <c r="Q128" s="23" t="n">
        <f aca="false">'Qté 2027'!Q128*$C128</f>
        <v>0</v>
      </c>
      <c r="R128" s="23" t="n">
        <f aca="false">'Qté 2027'!R128*$C128</f>
        <v>0</v>
      </c>
      <c r="S128" s="23" t="n">
        <f aca="false">'Qté 2027'!S128*$C128</f>
        <v>1.188</v>
      </c>
      <c r="T128" s="23" t="n">
        <f aca="false">'Qté 2027'!T128*$C128</f>
        <v>2.772</v>
      </c>
      <c r="U128" s="23" t="n">
        <f aca="false">'Qté 2027'!U128*$C128</f>
        <v>1.98</v>
      </c>
      <c r="V128" s="23" t="n">
        <f aca="false">'Qté 2027'!V128*$C128</f>
        <v>0.396</v>
      </c>
      <c r="W128" s="23" t="n">
        <f aca="false">'Qté 2027'!W128*$C128</f>
        <v>0</v>
      </c>
      <c r="X128" s="23" t="n">
        <f aca="false">'Qté 2027'!X128*$C128</f>
        <v>0</v>
      </c>
      <c r="Y128" s="23" t="n">
        <f aca="false">'Qté 2027'!Y128*$C128</f>
        <v>0</v>
      </c>
      <c r="Z128" s="23" t="n">
        <f aca="false">'Qté 2027'!Z128*$C128</f>
        <v>0</v>
      </c>
      <c r="AA128" s="23" t="n">
        <f aca="false">'Qté 2027'!AA128*$C128</f>
        <v>0</v>
      </c>
      <c r="AB128" s="23" t="n">
        <f aca="false">'Qté 2027'!AB128*$C128</f>
        <v>0</v>
      </c>
      <c r="AC128" s="23" t="n">
        <f aca="false">'Qté 2027'!AC128*$C128</f>
        <v>0.99</v>
      </c>
      <c r="AD128" s="23" t="n">
        <f aca="false">'Qté 2027'!AD128*$C128</f>
        <v>1.782</v>
      </c>
      <c r="AE128" s="23" t="n">
        <f aca="false">'Qté 2027'!AE128*$C128</f>
        <v>0.99</v>
      </c>
      <c r="AF128" s="23" t="n">
        <f aca="false">'Qté 2027'!AF128*$C128</f>
        <v>0</v>
      </c>
      <c r="AG128" s="23" t="n">
        <f aca="false">'Qté 2027'!AG128*$C128</f>
        <v>0</v>
      </c>
      <c r="AH128" s="23" t="n">
        <f aca="false">'Qté 2027'!AH128*$C128</f>
        <v>0.594</v>
      </c>
      <c r="AI128" s="23" t="n">
        <f aca="false">'Qté 2027'!AI128*$C128</f>
        <v>1.386</v>
      </c>
      <c r="AJ128" s="23" t="n">
        <f aca="false">'Qté 2027'!AJ128*$C128</f>
        <v>0.594</v>
      </c>
      <c r="AK128" s="23" t="n">
        <f aca="false">'Qté 2027'!AK128*$C128</f>
        <v>0</v>
      </c>
      <c r="AL128" s="23" t="n">
        <f aca="false">'Qté 2027'!AL128*$C128</f>
        <v>0</v>
      </c>
      <c r="AM128" s="23" t="n">
        <f aca="false">'Qté 2027'!AM128*$C128</f>
        <v>0</v>
      </c>
      <c r="AN128" s="23" t="n">
        <f aca="false">'Qté 2027'!AN128*$C128</f>
        <v>0</v>
      </c>
      <c r="AO128" s="23" t="n">
        <f aca="false">'Qté 2027'!AO128*$C128</f>
        <v>0</v>
      </c>
      <c r="AP128" s="23" t="n">
        <f aca="false">'Qté 2027'!AP128*$C128</f>
        <v>0</v>
      </c>
      <c r="AQ128" s="23" t="n">
        <f aca="false">'Qté 2027'!AQ128*$C128</f>
        <v>0</v>
      </c>
      <c r="AR128" s="23" t="n">
        <f aca="false">'Qté 2027'!AR128*$C128</f>
        <v>0.99</v>
      </c>
      <c r="AS128" s="23" t="n">
        <f aca="false">'Qté 2027'!AS128*$C128</f>
        <v>1.98</v>
      </c>
      <c r="AT128" s="23" t="n">
        <f aca="false">'Qté 2027'!AT128*$C128</f>
        <v>0.99</v>
      </c>
      <c r="AU128" s="23" t="n">
        <f aca="false">'Qté 2027'!AU128*$C128</f>
        <v>0</v>
      </c>
      <c r="AV128" s="23" t="n">
        <f aca="false">'Qté 2027'!AV128*$C128</f>
        <v>0</v>
      </c>
      <c r="AW128" s="23" t="n">
        <f aca="false">'Qté 2027'!AW128*$C128</f>
        <v>0</v>
      </c>
      <c r="AX128" s="23" t="n">
        <f aca="false">'Qté 2027'!AX128*$C128</f>
        <v>0</v>
      </c>
      <c r="AY128" s="23" t="n">
        <f aca="false">'Qté 2027'!AY128*$C128</f>
        <v>0</v>
      </c>
      <c r="AZ128" s="23" t="n">
        <f aca="false">'Qté 2027'!AZ128*$C128</f>
        <v>0.594</v>
      </c>
      <c r="BA128" s="23" t="n">
        <f aca="false">'Qté 2027'!BA128*$C128</f>
        <v>1.386</v>
      </c>
      <c r="BB128" s="23" t="n">
        <f aca="false">'Qté 2027'!BB128*$C128</f>
        <v>0.594</v>
      </c>
      <c r="BC128" s="23" t="n">
        <f aca="false">'Qté 2027'!BC128*$C128</f>
        <v>0</v>
      </c>
      <c r="BD128" s="15" t="n">
        <f aca="false">SUM(D128:BC128)</f>
        <v>19.206</v>
      </c>
    </row>
    <row r="129" customFormat="false" ht="15" hidden="false" customHeight="false" outlineLevel="0" collapsed="false">
      <c r="A129" s="5" t="s">
        <v>305</v>
      </c>
      <c r="B129" s="5" t="s">
        <v>45</v>
      </c>
      <c r="C129" s="22" t="n">
        <v>15.6</v>
      </c>
      <c r="D129" s="23" t="n">
        <f aca="false">'Qté 2027'!D129*$C129</f>
        <v>0</v>
      </c>
      <c r="E129" s="23" t="n">
        <f aca="false">'Qté 2027'!E129*$C129</f>
        <v>0</v>
      </c>
      <c r="F129" s="23" t="n">
        <f aca="false">'Qté 2027'!F129*$C129</f>
        <v>0</v>
      </c>
      <c r="G129" s="23" t="n">
        <f aca="false">'Qté 2027'!G129*$C129</f>
        <v>0</v>
      </c>
      <c r="H129" s="23" t="n">
        <f aca="false">'Qté 2027'!H129*$C129</f>
        <v>0</v>
      </c>
      <c r="I129" s="23" t="n">
        <f aca="false">'Qté 2027'!I129*$C129</f>
        <v>0</v>
      </c>
      <c r="J129" s="23" t="n">
        <f aca="false">'Qté 2027'!J129*$C129</f>
        <v>0</v>
      </c>
      <c r="K129" s="23" t="n">
        <f aca="false">'Qté 2027'!K129*$C129</f>
        <v>0</v>
      </c>
      <c r="L129" s="23" t="n">
        <f aca="false">'Qté 2027'!L129*$C129</f>
        <v>0</v>
      </c>
      <c r="M129" s="23" t="n">
        <f aca="false">'Qté 2027'!M129*$C129</f>
        <v>0</v>
      </c>
      <c r="N129" s="23" t="n">
        <f aca="false">'Qté 2027'!N129*$C129</f>
        <v>0</v>
      </c>
      <c r="O129" s="23" t="n">
        <f aca="false">'Qté 2027'!O129*$C129</f>
        <v>0</v>
      </c>
      <c r="P129" s="23" t="n">
        <f aca="false">'Qté 2027'!P129*$C129</f>
        <v>0</v>
      </c>
      <c r="Q129" s="23" t="n">
        <f aca="false">'Qté 2027'!Q129*$C129</f>
        <v>0</v>
      </c>
      <c r="R129" s="23" t="n">
        <f aca="false">'Qté 2027'!R129*$C129</f>
        <v>0</v>
      </c>
      <c r="S129" s="23" t="n">
        <f aca="false">'Qté 2027'!S129*$C129</f>
        <v>0</v>
      </c>
      <c r="T129" s="23" t="n">
        <f aca="false">'Qté 2027'!T129*$C129</f>
        <v>0</v>
      </c>
      <c r="U129" s="23" t="n">
        <f aca="false">'Qté 2027'!U129*$C129</f>
        <v>0.468</v>
      </c>
      <c r="V129" s="23" t="n">
        <f aca="false">'Qté 2027'!V129*$C129</f>
        <v>1.092</v>
      </c>
      <c r="W129" s="23" t="n">
        <f aca="false">'Qté 2027'!W129*$C129</f>
        <v>0.468</v>
      </c>
      <c r="X129" s="23" t="n">
        <f aca="false">'Qté 2027'!X129*$C129</f>
        <v>1.248</v>
      </c>
      <c r="Y129" s="23" t="n">
        <f aca="false">'Qté 2027'!Y129*$C129</f>
        <v>2.496</v>
      </c>
      <c r="Z129" s="23" t="n">
        <f aca="false">'Qté 2027'!Z129*$C129</f>
        <v>1.248</v>
      </c>
      <c r="AA129" s="23" t="n">
        <f aca="false">'Qté 2027'!AA129*$C129</f>
        <v>0</v>
      </c>
      <c r="AB129" s="23" t="n">
        <f aca="false">'Qté 2027'!AB129*$C129</f>
        <v>1.248</v>
      </c>
      <c r="AC129" s="23" t="n">
        <f aca="false">'Qté 2027'!AC129*$C129</f>
        <v>3.744</v>
      </c>
      <c r="AD129" s="23" t="n">
        <f aca="false">'Qté 2027'!AD129*$C129</f>
        <v>3.744</v>
      </c>
      <c r="AE129" s="23" t="n">
        <f aca="false">'Qté 2027'!AE129*$C129</f>
        <v>1.248</v>
      </c>
      <c r="AF129" s="23" t="n">
        <f aca="false">'Qté 2027'!AF129*$C129</f>
        <v>0.468</v>
      </c>
      <c r="AG129" s="23" t="n">
        <f aca="false">'Qté 2027'!AG129*$C129</f>
        <v>1.092</v>
      </c>
      <c r="AH129" s="23" t="n">
        <f aca="false">'Qté 2027'!AH129*$C129</f>
        <v>0.468</v>
      </c>
      <c r="AI129" s="23" t="n">
        <f aca="false">'Qté 2027'!AI129*$C129</f>
        <v>0</v>
      </c>
      <c r="AJ129" s="23" t="n">
        <f aca="false">'Qté 2027'!AJ129*$C129</f>
        <v>0</v>
      </c>
      <c r="AK129" s="23" t="n">
        <f aca="false">'Qté 2027'!AK129*$C129</f>
        <v>0</v>
      </c>
      <c r="AL129" s="23" t="n">
        <f aca="false">'Qté 2027'!AL129*$C129</f>
        <v>0</v>
      </c>
      <c r="AM129" s="23" t="n">
        <f aca="false">'Qté 2027'!AM129*$C129</f>
        <v>0</v>
      </c>
      <c r="AN129" s="23" t="n">
        <f aca="false">'Qté 2027'!AN129*$C129</f>
        <v>0</v>
      </c>
      <c r="AO129" s="23" t="n">
        <f aca="false">'Qté 2027'!AO129*$C129</f>
        <v>0</v>
      </c>
      <c r="AP129" s="23" t="n">
        <f aca="false">'Qté 2027'!AP129*$C129</f>
        <v>0</v>
      </c>
      <c r="AQ129" s="23" t="n">
        <f aca="false">'Qté 2027'!AQ129*$C129</f>
        <v>0</v>
      </c>
      <c r="AR129" s="23" t="n">
        <f aca="false">'Qté 2027'!AR129*$C129</f>
        <v>0</v>
      </c>
      <c r="AS129" s="23" t="n">
        <f aca="false">'Qté 2027'!AS129*$C129</f>
        <v>0</v>
      </c>
      <c r="AT129" s="23" t="n">
        <f aca="false">'Qté 2027'!AT129*$C129</f>
        <v>0</v>
      </c>
      <c r="AU129" s="23" t="n">
        <f aca="false">'Qté 2027'!AU129*$C129</f>
        <v>0</v>
      </c>
      <c r="AV129" s="23" t="n">
        <f aca="false">'Qté 2027'!AV129*$C129</f>
        <v>0</v>
      </c>
      <c r="AW129" s="23" t="n">
        <f aca="false">'Qté 2027'!AW129*$C129</f>
        <v>0</v>
      </c>
      <c r="AX129" s="23" t="n">
        <f aca="false">'Qté 2027'!AX129*$C129</f>
        <v>0</v>
      </c>
      <c r="AY129" s="23" t="n">
        <f aca="false">'Qté 2027'!AY129*$C129</f>
        <v>0</v>
      </c>
      <c r="AZ129" s="23" t="n">
        <f aca="false">'Qté 2027'!AZ129*$C129</f>
        <v>0</v>
      </c>
      <c r="BA129" s="23" t="n">
        <f aca="false">'Qté 2027'!BA129*$C129</f>
        <v>0</v>
      </c>
      <c r="BB129" s="23" t="n">
        <f aca="false">'Qté 2027'!BB129*$C129</f>
        <v>0</v>
      </c>
      <c r="BC129" s="23" t="n">
        <f aca="false">'Qté 2027'!BC129*$C129</f>
        <v>0</v>
      </c>
      <c r="BD129" s="15" t="n">
        <f aca="false">SUM(D129:BC129)</f>
        <v>19.032</v>
      </c>
    </row>
    <row r="130" customFormat="false" ht="15" hidden="false" customHeight="false" outlineLevel="0" collapsed="false">
      <c r="A130" s="5" t="s">
        <v>306</v>
      </c>
      <c r="B130" s="5" t="s">
        <v>69</v>
      </c>
      <c r="C130" s="22" t="n">
        <v>37.9</v>
      </c>
      <c r="D130" s="23" t="n">
        <f aca="false">'Qté 2027'!D130*$C130</f>
        <v>0</v>
      </c>
      <c r="E130" s="23" t="n">
        <f aca="false">'Qté 2027'!E130*$C130</f>
        <v>0</v>
      </c>
      <c r="F130" s="23" t="n">
        <f aca="false">'Qté 2027'!F130*$C130</f>
        <v>0</v>
      </c>
      <c r="G130" s="23" t="n">
        <f aca="false">'Qté 2027'!G130*$C130</f>
        <v>0</v>
      </c>
      <c r="H130" s="23" t="n">
        <f aca="false">'Qté 2027'!H130*$C130</f>
        <v>0</v>
      </c>
      <c r="I130" s="23" t="n">
        <f aca="false">'Qté 2027'!I130*$C130</f>
        <v>0</v>
      </c>
      <c r="J130" s="23" t="n">
        <f aca="false">'Qté 2027'!J130*$C130</f>
        <v>0</v>
      </c>
      <c r="K130" s="23" t="n">
        <f aca="false">'Qté 2027'!K130*$C130</f>
        <v>0</v>
      </c>
      <c r="L130" s="23" t="n">
        <f aca="false">'Qté 2027'!L130*$C130</f>
        <v>0</v>
      </c>
      <c r="M130" s="23" t="n">
        <f aca="false">'Qté 2027'!M130*$C130</f>
        <v>0</v>
      </c>
      <c r="N130" s="23" t="n">
        <f aca="false">'Qté 2027'!N130*$C130</f>
        <v>0</v>
      </c>
      <c r="O130" s="23" t="n">
        <f aca="false">'Qté 2027'!O130*$C130</f>
        <v>0</v>
      </c>
      <c r="P130" s="23" t="n">
        <f aca="false">'Qté 2027'!P130*$C130</f>
        <v>0</v>
      </c>
      <c r="Q130" s="23" t="n">
        <f aca="false">'Qté 2027'!Q130*$C130</f>
        <v>0</v>
      </c>
      <c r="R130" s="23" t="n">
        <f aca="false">'Qté 2027'!R130*$C130</f>
        <v>0</v>
      </c>
      <c r="S130" s="23" t="n">
        <f aca="false">'Qté 2027'!S130*$C130</f>
        <v>0</v>
      </c>
      <c r="T130" s="23" t="n">
        <f aca="false">'Qté 2027'!T130*$C130</f>
        <v>0</v>
      </c>
      <c r="U130" s="23" t="n">
        <f aca="false">'Qté 2027'!U130*$C130</f>
        <v>0</v>
      </c>
      <c r="V130" s="23" t="n">
        <f aca="false">'Qté 2027'!V130*$C130</f>
        <v>0</v>
      </c>
      <c r="W130" s="23" t="n">
        <f aca="false">'Qté 2027'!W130*$C130</f>
        <v>0</v>
      </c>
      <c r="X130" s="23" t="n">
        <f aca="false">'Qté 2027'!X130*$C130</f>
        <v>0</v>
      </c>
      <c r="Y130" s="23" t="n">
        <f aca="false">'Qté 2027'!Y130*$C130</f>
        <v>0</v>
      </c>
      <c r="Z130" s="23" t="n">
        <f aca="false">'Qté 2027'!Z130*$C130</f>
        <v>0</v>
      </c>
      <c r="AA130" s="23" t="n">
        <f aca="false">'Qté 2027'!AA130*$C130</f>
        <v>0</v>
      </c>
      <c r="AB130" s="23" t="n">
        <f aca="false">'Qté 2027'!AB130*$C130</f>
        <v>0</v>
      </c>
      <c r="AC130" s="23" t="n">
        <f aca="false">'Qté 2027'!AC130*$C130</f>
        <v>0</v>
      </c>
      <c r="AD130" s="23" t="n">
        <f aca="false">'Qté 2027'!AD130*$C130</f>
        <v>0</v>
      </c>
      <c r="AE130" s="23" t="n">
        <f aca="false">'Qté 2027'!AE130*$C130</f>
        <v>0</v>
      </c>
      <c r="AF130" s="23" t="n">
        <f aca="false">'Qté 2027'!AF130*$C130</f>
        <v>0</v>
      </c>
      <c r="AG130" s="23" t="n">
        <f aca="false">'Qté 2027'!AG130*$C130</f>
        <v>0</v>
      </c>
      <c r="AH130" s="23" t="n">
        <f aca="false">'Qté 2027'!AH130*$C130</f>
        <v>0</v>
      </c>
      <c r="AI130" s="23" t="n">
        <f aca="false">'Qté 2027'!AI130*$C130</f>
        <v>0</v>
      </c>
      <c r="AJ130" s="23" t="n">
        <f aca="false">'Qté 2027'!AJ130*$C130</f>
        <v>0</v>
      </c>
      <c r="AK130" s="23" t="n">
        <f aca="false">'Qté 2027'!AK130*$C130</f>
        <v>0</v>
      </c>
      <c r="AL130" s="23" t="n">
        <f aca="false">'Qté 2027'!AL130*$C130</f>
        <v>0</v>
      </c>
      <c r="AM130" s="23" t="n">
        <f aca="false">'Qté 2027'!AM130*$C130</f>
        <v>0</v>
      </c>
      <c r="AN130" s="23" t="n">
        <f aca="false">'Qté 2027'!AN130*$C130</f>
        <v>0</v>
      </c>
      <c r="AO130" s="23" t="n">
        <f aca="false">'Qté 2027'!AO130*$C130</f>
        <v>0</v>
      </c>
      <c r="AP130" s="23" t="n">
        <f aca="false">'Qté 2027'!AP130*$C130</f>
        <v>4.548</v>
      </c>
      <c r="AQ130" s="23" t="n">
        <f aca="false">'Qté 2027'!AQ130*$C130</f>
        <v>8.717</v>
      </c>
      <c r="AR130" s="23" t="n">
        <f aca="false">'Qté 2027'!AR130*$C130</f>
        <v>4.548</v>
      </c>
      <c r="AS130" s="23" t="n">
        <f aca="false">'Qté 2027'!AS130*$C130</f>
        <v>0</v>
      </c>
      <c r="AT130" s="23" t="n">
        <f aca="false">'Qté 2027'!AT130*$C130</f>
        <v>0</v>
      </c>
      <c r="AU130" s="23" t="n">
        <f aca="false">'Qté 2027'!AU130*$C130</f>
        <v>0</v>
      </c>
      <c r="AV130" s="23" t="n">
        <f aca="false">'Qté 2027'!AV130*$C130</f>
        <v>0</v>
      </c>
      <c r="AW130" s="23" t="n">
        <f aca="false">'Qté 2027'!AW130*$C130</f>
        <v>0</v>
      </c>
      <c r="AX130" s="23" t="n">
        <f aca="false">'Qté 2027'!AX130*$C130</f>
        <v>0</v>
      </c>
      <c r="AY130" s="23" t="n">
        <f aca="false">'Qté 2027'!AY130*$C130</f>
        <v>0</v>
      </c>
      <c r="AZ130" s="23" t="n">
        <f aca="false">'Qté 2027'!AZ130*$C130</f>
        <v>0</v>
      </c>
      <c r="BA130" s="23" t="n">
        <f aca="false">'Qté 2027'!BA130*$C130</f>
        <v>0</v>
      </c>
      <c r="BB130" s="23" t="n">
        <f aca="false">'Qté 2027'!BB130*$C130</f>
        <v>0</v>
      </c>
      <c r="BC130" s="23" t="n">
        <f aca="false">'Qté 2027'!BC130*$C130</f>
        <v>0</v>
      </c>
      <c r="BD130" s="15" t="n">
        <f aca="false">SUM(D130:BC130)</f>
        <v>17.813</v>
      </c>
    </row>
    <row r="131" customFormat="false" ht="15" hidden="false" customHeight="false" outlineLevel="0" collapsed="false">
      <c r="A131" s="5" t="s">
        <v>307</v>
      </c>
      <c r="B131" s="5" t="s">
        <v>64</v>
      </c>
      <c r="C131" s="22" t="n">
        <v>48.6</v>
      </c>
      <c r="D131" s="23" t="n">
        <f aca="false">'Qté 2027'!D131*$C131</f>
        <v>0</v>
      </c>
      <c r="E131" s="23" t="n">
        <f aca="false">'Qté 2027'!E131*$C131</f>
        <v>0</v>
      </c>
      <c r="F131" s="23" t="n">
        <f aca="false">'Qté 2027'!F131*$C131</f>
        <v>0</v>
      </c>
      <c r="G131" s="23" t="n">
        <f aca="false">'Qté 2027'!G131*$C131</f>
        <v>0</v>
      </c>
      <c r="H131" s="23" t="n">
        <f aca="false">'Qté 2027'!H131*$C131</f>
        <v>0</v>
      </c>
      <c r="I131" s="23" t="n">
        <f aca="false">'Qté 2027'!I131*$C131</f>
        <v>0</v>
      </c>
      <c r="J131" s="23" t="n">
        <f aca="false">'Qté 2027'!J131*$C131</f>
        <v>0</v>
      </c>
      <c r="K131" s="23" t="n">
        <f aca="false">'Qté 2027'!K131*$C131</f>
        <v>0</v>
      </c>
      <c r="L131" s="23" t="n">
        <f aca="false">'Qté 2027'!L131*$C131</f>
        <v>0</v>
      </c>
      <c r="M131" s="23" t="n">
        <f aca="false">'Qté 2027'!M131*$C131</f>
        <v>0</v>
      </c>
      <c r="N131" s="23" t="n">
        <f aca="false">'Qté 2027'!N131*$C131</f>
        <v>0</v>
      </c>
      <c r="O131" s="23" t="n">
        <f aca="false">'Qté 2027'!O131*$C131</f>
        <v>0</v>
      </c>
      <c r="P131" s="23" t="n">
        <f aca="false">'Qté 2027'!P131*$C131</f>
        <v>0</v>
      </c>
      <c r="Q131" s="23" t="n">
        <f aca="false">'Qté 2027'!Q131*$C131</f>
        <v>0</v>
      </c>
      <c r="R131" s="23" t="n">
        <f aca="false">'Qté 2027'!R131*$C131</f>
        <v>0</v>
      </c>
      <c r="S131" s="23" t="n">
        <f aca="false">'Qté 2027'!S131*$C131</f>
        <v>0</v>
      </c>
      <c r="T131" s="23" t="n">
        <f aca="false">'Qté 2027'!T131*$C131</f>
        <v>0</v>
      </c>
      <c r="U131" s="23" t="n">
        <f aca="false">'Qté 2027'!U131*$C131</f>
        <v>1.458</v>
      </c>
      <c r="V131" s="23" t="n">
        <f aca="false">'Qté 2027'!V131*$C131</f>
        <v>3.402</v>
      </c>
      <c r="W131" s="23" t="n">
        <f aca="false">'Qté 2027'!W131*$C131</f>
        <v>1.458</v>
      </c>
      <c r="X131" s="23" t="n">
        <f aca="false">'Qté 2027'!X131*$C131</f>
        <v>2.916</v>
      </c>
      <c r="Y131" s="23" t="n">
        <f aca="false">'Qté 2027'!Y131*$C131</f>
        <v>5.346</v>
      </c>
      <c r="Z131" s="23" t="n">
        <f aca="false">'Qté 2027'!Z131*$C131</f>
        <v>2.916</v>
      </c>
      <c r="AA131" s="23" t="n">
        <f aca="false">'Qté 2027'!AA131*$C131</f>
        <v>0</v>
      </c>
      <c r="AB131" s="23" t="n">
        <f aca="false">'Qté 2027'!AB131*$C131</f>
        <v>0</v>
      </c>
      <c r="AC131" s="23" t="n">
        <f aca="false">'Qté 2027'!AC131*$C131</f>
        <v>0</v>
      </c>
      <c r="AD131" s="23" t="n">
        <f aca="false">'Qté 2027'!AD131*$C131</f>
        <v>0</v>
      </c>
      <c r="AE131" s="23" t="n">
        <f aca="false">'Qté 2027'!AE131*$C131</f>
        <v>0</v>
      </c>
      <c r="AF131" s="23" t="n">
        <f aca="false">'Qté 2027'!AF131*$C131</f>
        <v>0</v>
      </c>
      <c r="AG131" s="23" t="n">
        <f aca="false">'Qté 2027'!AG131*$C131</f>
        <v>0</v>
      </c>
      <c r="AH131" s="23" t="n">
        <f aca="false">'Qté 2027'!AH131*$C131</f>
        <v>0</v>
      </c>
      <c r="AI131" s="23" t="n">
        <f aca="false">'Qté 2027'!AI131*$C131</f>
        <v>0</v>
      </c>
      <c r="AJ131" s="23" t="n">
        <f aca="false">'Qté 2027'!AJ131*$C131</f>
        <v>0</v>
      </c>
      <c r="AK131" s="23" t="n">
        <f aca="false">'Qté 2027'!AK131*$C131</f>
        <v>0</v>
      </c>
      <c r="AL131" s="23" t="n">
        <f aca="false">'Qté 2027'!AL131*$C131</f>
        <v>0</v>
      </c>
      <c r="AM131" s="23" t="n">
        <f aca="false">'Qté 2027'!AM131*$C131</f>
        <v>0</v>
      </c>
      <c r="AN131" s="23" t="n">
        <f aca="false">'Qté 2027'!AN131*$C131</f>
        <v>0</v>
      </c>
      <c r="AO131" s="23" t="n">
        <f aca="false">'Qté 2027'!AO131*$C131</f>
        <v>0</v>
      </c>
      <c r="AP131" s="23" t="n">
        <f aca="false">'Qté 2027'!AP131*$C131</f>
        <v>0</v>
      </c>
      <c r="AQ131" s="23" t="n">
        <f aca="false">'Qté 2027'!AQ131*$C131</f>
        <v>0</v>
      </c>
      <c r="AR131" s="23" t="n">
        <f aca="false">'Qté 2027'!AR131*$C131</f>
        <v>0</v>
      </c>
      <c r="AS131" s="23" t="n">
        <f aca="false">'Qté 2027'!AS131*$C131</f>
        <v>0</v>
      </c>
      <c r="AT131" s="23" t="n">
        <f aca="false">'Qté 2027'!AT131*$C131</f>
        <v>0</v>
      </c>
      <c r="AU131" s="23" t="n">
        <f aca="false">'Qté 2027'!AU131*$C131</f>
        <v>0</v>
      </c>
      <c r="AV131" s="23" t="n">
        <f aca="false">'Qté 2027'!AV131*$C131</f>
        <v>0</v>
      </c>
      <c r="AW131" s="23" t="n">
        <f aca="false">'Qté 2027'!AW131*$C131</f>
        <v>0</v>
      </c>
      <c r="AX131" s="23" t="n">
        <f aca="false">'Qté 2027'!AX131*$C131</f>
        <v>0</v>
      </c>
      <c r="AY131" s="23" t="n">
        <f aca="false">'Qté 2027'!AY131*$C131</f>
        <v>0</v>
      </c>
      <c r="AZ131" s="23" t="n">
        <f aca="false">'Qté 2027'!AZ131*$C131</f>
        <v>0</v>
      </c>
      <c r="BA131" s="23" t="n">
        <f aca="false">'Qté 2027'!BA131*$C131</f>
        <v>0</v>
      </c>
      <c r="BB131" s="23" t="n">
        <f aca="false">'Qté 2027'!BB131*$C131</f>
        <v>0</v>
      </c>
      <c r="BC131" s="23" t="n">
        <f aca="false">'Qté 2027'!BC131*$C131</f>
        <v>0</v>
      </c>
      <c r="BD131" s="15" t="n">
        <f aca="false">SUM(D131:BC131)</f>
        <v>17.496</v>
      </c>
    </row>
    <row r="132" customFormat="false" ht="15" hidden="false" customHeight="false" outlineLevel="0" collapsed="false">
      <c r="A132" s="5" t="s">
        <v>308</v>
      </c>
      <c r="B132" s="5" t="s">
        <v>45</v>
      </c>
      <c r="C132" s="22" t="n">
        <v>17.68</v>
      </c>
      <c r="D132" s="23" t="n">
        <f aca="false">'Qté 2027'!D132*$C132</f>
        <v>0</v>
      </c>
      <c r="E132" s="23" t="n">
        <f aca="false">'Qté 2027'!E132*$C132</f>
        <v>0</v>
      </c>
      <c r="F132" s="23" t="n">
        <f aca="false">'Qté 2027'!F132*$C132</f>
        <v>0</v>
      </c>
      <c r="G132" s="23" t="n">
        <f aca="false">'Qté 2027'!G132*$C132</f>
        <v>0</v>
      </c>
      <c r="H132" s="23" t="n">
        <f aca="false">'Qté 2027'!H132*$C132</f>
        <v>0</v>
      </c>
      <c r="I132" s="23" t="n">
        <f aca="false">'Qté 2027'!I132*$C132</f>
        <v>0</v>
      </c>
      <c r="J132" s="23" t="n">
        <f aca="false">'Qté 2027'!J132*$C132</f>
        <v>0</v>
      </c>
      <c r="K132" s="23" t="n">
        <f aca="false">'Qté 2027'!K132*$C132</f>
        <v>0</v>
      </c>
      <c r="L132" s="23" t="n">
        <f aca="false">'Qté 2027'!L132*$C132</f>
        <v>0</v>
      </c>
      <c r="M132" s="23" t="n">
        <f aca="false">'Qté 2027'!M132*$C132</f>
        <v>0</v>
      </c>
      <c r="N132" s="23" t="n">
        <f aca="false">'Qté 2027'!N132*$C132</f>
        <v>0</v>
      </c>
      <c r="O132" s="23" t="n">
        <f aca="false">'Qté 2027'!O132*$C132</f>
        <v>0</v>
      </c>
      <c r="P132" s="23" t="n">
        <f aca="false">'Qté 2027'!P132*$C132</f>
        <v>0</v>
      </c>
      <c r="Q132" s="23" t="n">
        <f aca="false">'Qté 2027'!Q132*$C132</f>
        <v>0</v>
      </c>
      <c r="R132" s="23" t="n">
        <f aca="false">'Qté 2027'!R132*$C132</f>
        <v>1.4144</v>
      </c>
      <c r="S132" s="23" t="n">
        <f aca="false">'Qté 2027'!S132*$C132</f>
        <v>2.8288</v>
      </c>
      <c r="T132" s="23" t="n">
        <f aca="false">'Qté 2027'!T132*$C132</f>
        <v>2.8288</v>
      </c>
      <c r="U132" s="23" t="n">
        <f aca="false">'Qté 2027'!U132*$C132</f>
        <v>2.8288</v>
      </c>
      <c r="V132" s="23" t="n">
        <f aca="false">'Qté 2027'!V132*$C132</f>
        <v>1.4144</v>
      </c>
      <c r="W132" s="23" t="n">
        <f aca="false">'Qté 2027'!W132*$C132</f>
        <v>0</v>
      </c>
      <c r="X132" s="23" t="n">
        <f aca="false">'Qté 2027'!X132*$C132</f>
        <v>1.4144</v>
      </c>
      <c r="Y132" s="23" t="n">
        <f aca="false">'Qté 2027'!Y132*$C132</f>
        <v>2.8288</v>
      </c>
      <c r="Z132" s="23" t="n">
        <f aca="false">'Qté 2027'!Z132*$C132</f>
        <v>1.4144</v>
      </c>
      <c r="AA132" s="23" t="n">
        <f aca="false">'Qté 2027'!AA132*$C132</f>
        <v>0</v>
      </c>
      <c r="AB132" s="23" t="n">
        <f aca="false">'Qté 2027'!AB132*$C132</f>
        <v>0</v>
      </c>
      <c r="AC132" s="23" t="n">
        <f aca="false">'Qté 2027'!AC132*$C132</f>
        <v>0</v>
      </c>
      <c r="AD132" s="23" t="n">
        <f aca="false">'Qté 2027'!AD132*$C132</f>
        <v>0</v>
      </c>
      <c r="AE132" s="23" t="n">
        <f aca="false">'Qté 2027'!AE132*$C132</f>
        <v>0</v>
      </c>
      <c r="AF132" s="23" t="n">
        <f aca="false">'Qté 2027'!AF132*$C132</f>
        <v>0</v>
      </c>
      <c r="AG132" s="23" t="n">
        <f aca="false">'Qté 2027'!AG132*$C132</f>
        <v>0</v>
      </c>
      <c r="AH132" s="23" t="n">
        <f aca="false">'Qté 2027'!AH132*$C132</f>
        <v>0</v>
      </c>
      <c r="AI132" s="23" t="n">
        <f aca="false">'Qté 2027'!AI132*$C132</f>
        <v>0</v>
      </c>
      <c r="AJ132" s="23" t="n">
        <f aca="false">'Qté 2027'!AJ132*$C132</f>
        <v>0</v>
      </c>
      <c r="AK132" s="23" t="n">
        <f aca="false">'Qté 2027'!AK132*$C132</f>
        <v>0</v>
      </c>
      <c r="AL132" s="23" t="n">
        <f aca="false">'Qté 2027'!AL132*$C132</f>
        <v>0</v>
      </c>
      <c r="AM132" s="23" t="n">
        <f aca="false">'Qté 2027'!AM132*$C132</f>
        <v>0</v>
      </c>
      <c r="AN132" s="23" t="n">
        <f aca="false">'Qté 2027'!AN132*$C132</f>
        <v>0</v>
      </c>
      <c r="AO132" s="23" t="n">
        <f aca="false">'Qté 2027'!AO132*$C132</f>
        <v>0</v>
      </c>
      <c r="AP132" s="23" t="n">
        <f aca="false">'Qté 2027'!AP132*$C132</f>
        <v>0</v>
      </c>
      <c r="AQ132" s="23" t="n">
        <f aca="false">'Qté 2027'!AQ132*$C132</f>
        <v>0</v>
      </c>
      <c r="AR132" s="23" t="n">
        <f aca="false">'Qté 2027'!AR132*$C132</f>
        <v>0</v>
      </c>
      <c r="AS132" s="23" t="n">
        <f aca="false">'Qté 2027'!AS132*$C132</f>
        <v>0</v>
      </c>
      <c r="AT132" s="23" t="n">
        <f aca="false">'Qté 2027'!AT132*$C132</f>
        <v>0</v>
      </c>
      <c r="AU132" s="23" t="n">
        <f aca="false">'Qté 2027'!AU132*$C132</f>
        <v>0</v>
      </c>
      <c r="AV132" s="23" t="n">
        <f aca="false">'Qté 2027'!AV132*$C132</f>
        <v>0</v>
      </c>
      <c r="AW132" s="23" t="n">
        <f aca="false">'Qté 2027'!AW132*$C132</f>
        <v>0</v>
      </c>
      <c r="AX132" s="23" t="n">
        <f aca="false">'Qté 2027'!AX132*$C132</f>
        <v>0</v>
      </c>
      <c r="AY132" s="23" t="n">
        <f aca="false">'Qté 2027'!AY132*$C132</f>
        <v>0</v>
      </c>
      <c r="AZ132" s="23" t="n">
        <f aca="false">'Qté 2027'!AZ132*$C132</f>
        <v>0</v>
      </c>
      <c r="BA132" s="23" t="n">
        <f aca="false">'Qté 2027'!BA132*$C132</f>
        <v>0</v>
      </c>
      <c r="BB132" s="23" t="n">
        <f aca="false">'Qté 2027'!BB132*$C132</f>
        <v>0</v>
      </c>
      <c r="BC132" s="23" t="n">
        <f aca="false">'Qté 2027'!BC132*$C132</f>
        <v>0</v>
      </c>
      <c r="BD132" s="15" t="n">
        <f aca="false">SUM(D132:BC132)</f>
        <v>16.9728</v>
      </c>
    </row>
    <row r="133" customFormat="false" ht="15" hidden="false" customHeight="false" outlineLevel="0" collapsed="false">
      <c r="A133" s="5" t="s">
        <v>309</v>
      </c>
      <c r="B133" s="5" t="s">
        <v>63</v>
      </c>
      <c r="C133" s="22" t="n">
        <v>44.18</v>
      </c>
      <c r="D133" s="23" t="n">
        <f aca="false">'Qté 2027'!D133*$C133</f>
        <v>0</v>
      </c>
      <c r="E133" s="23" t="n">
        <f aca="false">'Qté 2027'!E133*$C133</f>
        <v>0</v>
      </c>
      <c r="F133" s="23" t="n">
        <f aca="false">'Qté 2027'!F133*$C133</f>
        <v>0</v>
      </c>
      <c r="G133" s="23" t="n">
        <f aca="false">'Qté 2027'!G133*$C133</f>
        <v>0</v>
      </c>
      <c r="H133" s="23" t="n">
        <f aca="false">'Qté 2027'!H133*$C133</f>
        <v>0</v>
      </c>
      <c r="I133" s="23" t="n">
        <f aca="false">'Qté 2027'!I133*$C133</f>
        <v>0</v>
      </c>
      <c r="J133" s="23" t="n">
        <f aca="false">'Qté 2027'!J133*$C133</f>
        <v>0</v>
      </c>
      <c r="K133" s="23" t="n">
        <f aca="false">'Qté 2027'!K133*$C133</f>
        <v>0</v>
      </c>
      <c r="L133" s="23" t="n">
        <f aca="false">'Qté 2027'!L133*$C133</f>
        <v>0</v>
      </c>
      <c r="M133" s="23" t="n">
        <f aca="false">'Qté 2027'!M133*$C133</f>
        <v>0</v>
      </c>
      <c r="N133" s="23" t="n">
        <f aca="false">'Qté 2027'!N133*$C133</f>
        <v>0</v>
      </c>
      <c r="O133" s="23" t="n">
        <f aca="false">'Qté 2027'!O133*$C133</f>
        <v>0</v>
      </c>
      <c r="P133" s="23" t="n">
        <f aca="false">'Qté 2027'!P133*$C133</f>
        <v>0</v>
      </c>
      <c r="Q133" s="23" t="n">
        <f aca="false">'Qté 2027'!Q133*$C133</f>
        <v>0</v>
      </c>
      <c r="R133" s="23" t="n">
        <f aca="false">'Qté 2027'!R133*$C133</f>
        <v>0</v>
      </c>
      <c r="S133" s="23" t="n">
        <f aca="false">'Qté 2027'!S133*$C133</f>
        <v>0</v>
      </c>
      <c r="T133" s="23" t="n">
        <f aca="false">'Qté 2027'!T133*$C133</f>
        <v>0</v>
      </c>
      <c r="U133" s="23" t="n">
        <f aca="false">'Qté 2027'!U133*$C133</f>
        <v>3.9762</v>
      </c>
      <c r="V133" s="23" t="n">
        <f aca="false">'Qté 2027'!V133*$C133</f>
        <v>7.9524</v>
      </c>
      <c r="W133" s="23" t="n">
        <f aca="false">'Qté 2027'!W133*$C133</f>
        <v>3.9762</v>
      </c>
      <c r="X133" s="23" t="n">
        <f aca="false">'Qté 2027'!X133*$C133</f>
        <v>0</v>
      </c>
      <c r="Y133" s="23" t="n">
        <f aca="false">'Qté 2027'!Y133*$C133</f>
        <v>0</v>
      </c>
      <c r="Z133" s="23" t="n">
        <f aca="false">'Qté 2027'!Z133*$C133</f>
        <v>0</v>
      </c>
      <c r="AA133" s="23" t="n">
        <f aca="false">'Qté 2027'!AA133*$C133</f>
        <v>0</v>
      </c>
      <c r="AB133" s="23" t="n">
        <f aca="false">'Qté 2027'!AB133*$C133</f>
        <v>0</v>
      </c>
      <c r="AC133" s="23" t="n">
        <f aca="false">'Qté 2027'!AC133*$C133</f>
        <v>0</v>
      </c>
      <c r="AD133" s="23" t="n">
        <f aca="false">'Qté 2027'!AD133*$C133</f>
        <v>0</v>
      </c>
      <c r="AE133" s="23" t="n">
        <f aca="false">'Qté 2027'!AE133*$C133</f>
        <v>0</v>
      </c>
      <c r="AF133" s="23" t="n">
        <f aca="false">'Qté 2027'!AF133*$C133</f>
        <v>0</v>
      </c>
      <c r="AG133" s="23" t="n">
        <f aca="false">'Qté 2027'!AG133*$C133</f>
        <v>0</v>
      </c>
      <c r="AH133" s="23" t="n">
        <f aca="false">'Qté 2027'!AH133*$C133</f>
        <v>0</v>
      </c>
      <c r="AI133" s="23" t="n">
        <f aca="false">'Qté 2027'!AI133*$C133</f>
        <v>0</v>
      </c>
      <c r="AJ133" s="23" t="n">
        <f aca="false">'Qté 2027'!AJ133*$C133</f>
        <v>0</v>
      </c>
      <c r="AK133" s="23" t="n">
        <f aca="false">'Qté 2027'!AK133*$C133</f>
        <v>0</v>
      </c>
      <c r="AL133" s="23" t="n">
        <f aca="false">'Qté 2027'!AL133*$C133</f>
        <v>0</v>
      </c>
      <c r="AM133" s="23" t="n">
        <f aca="false">'Qté 2027'!AM133*$C133</f>
        <v>0</v>
      </c>
      <c r="AN133" s="23" t="n">
        <f aca="false">'Qté 2027'!AN133*$C133</f>
        <v>0</v>
      </c>
      <c r="AO133" s="23" t="n">
        <f aca="false">'Qté 2027'!AO133*$C133</f>
        <v>0</v>
      </c>
      <c r="AP133" s="23" t="n">
        <f aca="false">'Qté 2027'!AP133*$C133</f>
        <v>0</v>
      </c>
      <c r="AQ133" s="23" t="n">
        <f aca="false">'Qté 2027'!AQ133*$C133</f>
        <v>0</v>
      </c>
      <c r="AR133" s="23" t="n">
        <f aca="false">'Qté 2027'!AR133*$C133</f>
        <v>0</v>
      </c>
      <c r="AS133" s="23" t="n">
        <f aca="false">'Qté 2027'!AS133*$C133</f>
        <v>0</v>
      </c>
      <c r="AT133" s="23" t="n">
        <f aca="false">'Qté 2027'!AT133*$C133</f>
        <v>0</v>
      </c>
      <c r="AU133" s="23" t="n">
        <f aca="false">'Qté 2027'!AU133*$C133</f>
        <v>0</v>
      </c>
      <c r="AV133" s="23" t="n">
        <f aca="false">'Qté 2027'!AV133*$C133</f>
        <v>0</v>
      </c>
      <c r="AW133" s="23" t="n">
        <f aca="false">'Qté 2027'!AW133*$C133</f>
        <v>0</v>
      </c>
      <c r="AX133" s="23" t="n">
        <f aca="false">'Qté 2027'!AX133*$C133</f>
        <v>0</v>
      </c>
      <c r="AY133" s="23" t="n">
        <f aca="false">'Qté 2027'!AY133*$C133</f>
        <v>0</v>
      </c>
      <c r="AZ133" s="23" t="n">
        <f aca="false">'Qté 2027'!AZ133*$C133</f>
        <v>0</v>
      </c>
      <c r="BA133" s="23" t="n">
        <f aca="false">'Qté 2027'!BA133*$C133</f>
        <v>0</v>
      </c>
      <c r="BB133" s="23" t="n">
        <f aca="false">'Qté 2027'!BB133*$C133</f>
        <v>0</v>
      </c>
      <c r="BC133" s="23" t="n">
        <f aca="false">'Qté 2027'!BC133*$C133</f>
        <v>0</v>
      </c>
      <c r="BD133" s="15" t="n">
        <f aca="false">SUM(D133:BC133)</f>
        <v>15.9048</v>
      </c>
    </row>
    <row r="134" customFormat="false" ht="15" hidden="false" customHeight="false" outlineLevel="0" collapsed="false">
      <c r="A134" s="5" t="s">
        <v>310</v>
      </c>
      <c r="B134" s="5" t="s">
        <v>69</v>
      </c>
      <c r="C134" s="22" t="n">
        <v>21.48</v>
      </c>
      <c r="D134" s="23" t="n">
        <f aca="false">'Qté 2027'!D134*$C134</f>
        <v>0</v>
      </c>
      <c r="E134" s="23" t="n">
        <f aca="false">'Qté 2027'!E134*$C134</f>
        <v>0</v>
      </c>
      <c r="F134" s="23" t="n">
        <f aca="false">'Qté 2027'!F134*$C134</f>
        <v>0</v>
      </c>
      <c r="G134" s="23" t="n">
        <f aca="false">'Qté 2027'!G134*$C134</f>
        <v>0</v>
      </c>
      <c r="H134" s="23" t="n">
        <f aca="false">'Qté 2027'!H134*$C134</f>
        <v>0</v>
      </c>
      <c r="I134" s="23" t="n">
        <f aca="false">'Qté 2027'!I134*$C134</f>
        <v>0</v>
      </c>
      <c r="J134" s="23" t="n">
        <f aca="false">'Qté 2027'!J134*$C134</f>
        <v>0</v>
      </c>
      <c r="K134" s="23" t="n">
        <f aca="false">'Qté 2027'!K134*$C134</f>
        <v>0</v>
      </c>
      <c r="L134" s="23" t="n">
        <f aca="false">'Qté 2027'!L134*$C134</f>
        <v>0</v>
      </c>
      <c r="M134" s="23" t="n">
        <f aca="false">'Qté 2027'!M134*$C134</f>
        <v>0</v>
      </c>
      <c r="N134" s="23" t="n">
        <f aca="false">'Qté 2027'!N134*$C134</f>
        <v>0</v>
      </c>
      <c r="O134" s="23" t="n">
        <f aca="false">'Qté 2027'!O134*$C134</f>
        <v>0</v>
      </c>
      <c r="P134" s="23" t="n">
        <f aca="false">'Qté 2027'!P134*$C134</f>
        <v>0</v>
      </c>
      <c r="Q134" s="23" t="n">
        <f aca="false">'Qté 2027'!Q134*$C134</f>
        <v>0</v>
      </c>
      <c r="R134" s="23" t="n">
        <f aca="false">'Qté 2027'!R134*$C134</f>
        <v>0</v>
      </c>
      <c r="S134" s="23" t="n">
        <f aca="false">'Qté 2027'!S134*$C134</f>
        <v>0</v>
      </c>
      <c r="T134" s="23" t="n">
        <f aca="false">'Qté 2027'!T134*$C134</f>
        <v>0</v>
      </c>
      <c r="U134" s="23" t="n">
        <f aca="false">'Qté 2027'!U134*$C134</f>
        <v>0</v>
      </c>
      <c r="V134" s="23" t="n">
        <f aca="false">'Qté 2027'!V134*$C134</f>
        <v>0</v>
      </c>
      <c r="W134" s="23" t="n">
        <f aca="false">'Qté 2027'!W134*$C134</f>
        <v>0</v>
      </c>
      <c r="X134" s="23" t="n">
        <f aca="false">'Qté 2027'!X134*$C134</f>
        <v>0</v>
      </c>
      <c r="Y134" s="23" t="n">
        <f aca="false">'Qté 2027'!Y134*$C134</f>
        <v>0</v>
      </c>
      <c r="Z134" s="23" t="n">
        <f aca="false">'Qté 2027'!Z134*$C134</f>
        <v>0</v>
      </c>
      <c r="AA134" s="23" t="n">
        <f aca="false">'Qté 2027'!AA134*$C134</f>
        <v>0</v>
      </c>
      <c r="AB134" s="23" t="n">
        <f aca="false">'Qté 2027'!AB134*$C134</f>
        <v>1.9332</v>
      </c>
      <c r="AC134" s="23" t="n">
        <f aca="false">'Qté 2027'!AC134*$C134</f>
        <v>5.7996</v>
      </c>
      <c r="AD134" s="23" t="n">
        <f aca="false">'Qté 2027'!AD134*$C134</f>
        <v>5.7996</v>
      </c>
      <c r="AE134" s="23" t="n">
        <f aca="false">'Qté 2027'!AE134*$C134</f>
        <v>1.9332</v>
      </c>
      <c r="AF134" s="23" t="n">
        <f aca="false">'Qté 2027'!AF134*$C134</f>
        <v>0</v>
      </c>
      <c r="AG134" s="23" t="n">
        <f aca="false">'Qté 2027'!AG134*$C134</f>
        <v>0</v>
      </c>
      <c r="AH134" s="23" t="n">
        <f aca="false">'Qté 2027'!AH134*$C134</f>
        <v>0</v>
      </c>
      <c r="AI134" s="23" t="n">
        <f aca="false">'Qté 2027'!AI134*$C134</f>
        <v>0</v>
      </c>
      <c r="AJ134" s="23" t="n">
        <f aca="false">'Qté 2027'!AJ134*$C134</f>
        <v>0</v>
      </c>
      <c r="AK134" s="23" t="n">
        <f aca="false">'Qté 2027'!AK134*$C134</f>
        <v>0</v>
      </c>
      <c r="AL134" s="23" t="n">
        <f aca="false">'Qté 2027'!AL134*$C134</f>
        <v>0</v>
      </c>
      <c r="AM134" s="23" t="n">
        <f aca="false">'Qté 2027'!AM134*$C134</f>
        <v>0</v>
      </c>
      <c r="AN134" s="23" t="n">
        <f aca="false">'Qté 2027'!AN134*$C134</f>
        <v>0</v>
      </c>
      <c r="AO134" s="23" t="n">
        <f aca="false">'Qté 2027'!AO134*$C134</f>
        <v>0</v>
      </c>
      <c r="AP134" s="23" t="n">
        <f aca="false">'Qté 2027'!AP134*$C134</f>
        <v>0</v>
      </c>
      <c r="AQ134" s="23" t="n">
        <f aca="false">'Qté 2027'!AQ134*$C134</f>
        <v>0</v>
      </c>
      <c r="AR134" s="23" t="n">
        <f aca="false">'Qté 2027'!AR134*$C134</f>
        <v>0</v>
      </c>
      <c r="AS134" s="23" t="n">
        <f aca="false">'Qté 2027'!AS134*$C134</f>
        <v>0</v>
      </c>
      <c r="AT134" s="23" t="n">
        <f aca="false">'Qté 2027'!AT134*$C134</f>
        <v>0</v>
      </c>
      <c r="AU134" s="23" t="n">
        <f aca="false">'Qté 2027'!AU134*$C134</f>
        <v>0</v>
      </c>
      <c r="AV134" s="23" t="n">
        <f aca="false">'Qté 2027'!AV134*$C134</f>
        <v>0</v>
      </c>
      <c r="AW134" s="23" t="n">
        <f aca="false">'Qté 2027'!AW134*$C134</f>
        <v>0</v>
      </c>
      <c r="AX134" s="23" t="n">
        <f aca="false">'Qté 2027'!AX134*$C134</f>
        <v>0</v>
      </c>
      <c r="AY134" s="23" t="n">
        <f aca="false">'Qté 2027'!AY134*$C134</f>
        <v>0</v>
      </c>
      <c r="AZ134" s="23" t="n">
        <f aca="false">'Qté 2027'!AZ134*$C134</f>
        <v>0</v>
      </c>
      <c r="BA134" s="23" t="n">
        <f aca="false">'Qté 2027'!BA134*$C134</f>
        <v>0</v>
      </c>
      <c r="BB134" s="23" t="n">
        <f aca="false">'Qté 2027'!BB134*$C134</f>
        <v>0</v>
      </c>
      <c r="BC134" s="23" t="n">
        <f aca="false">'Qté 2027'!BC134*$C134</f>
        <v>0</v>
      </c>
      <c r="BD134" s="15" t="n">
        <f aca="false">SUM(D134:BC134)</f>
        <v>15.4656</v>
      </c>
    </row>
    <row r="135" customFormat="false" ht="15" hidden="false" customHeight="false" outlineLevel="0" collapsed="false">
      <c r="A135" s="5" t="s">
        <v>311</v>
      </c>
      <c r="B135" s="5" t="s">
        <v>62</v>
      </c>
      <c r="C135" s="22" t="n">
        <v>15</v>
      </c>
      <c r="D135" s="23" t="n">
        <f aca="false">'Qté 2027'!D135*$C135</f>
        <v>0</v>
      </c>
      <c r="E135" s="23" t="n">
        <f aca="false">'Qté 2027'!E135*$C135</f>
        <v>0</v>
      </c>
      <c r="F135" s="23" t="n">
        <f aca="false">'Qté 2027'!F135*$C135</f>
        <v>0</v>
      </c>
      <c r="G135" s="23" t="n">
        <f aca="false">'Qté 2027'!G135*$C135</f>
        <v>0</v>
      </c>
      <c r="H135" s="23" t="n">
        <f aca="false">'Qté 2027'!H135*$C135</f>
        <v>0</v>
      </c>
      <c r="I135" s="23" t="n">
        <f aca="false">'Qté 2027'!I135*$C135</f>
        <v>0</v>
      </c>
      <c r="J135" s="23" t="n">
        <f aca="false">'Qté 2027'!J135*$C135</f>
        <v>0</v>
      </c>
      <c r="K135" s="23" t="n">
        <f aca="false">'Qté 2027'!K135*$C135</f>
        <v>0</v>
      </c>
      <c r="L135" s="23" t="n">
        <f aca="false">'Qté 2027'!L135*$C135</f>
        <v>0</v>
      </c>
      <c r="M135" s="23" t="n">
        <f aca="false">'Qté 2027'!M135*$C135</f>
        <v>0</v>
      </c>
      <c r="N135" s="23" t="n">
        <f aca="false">'Qté 2027'!N135*$C135</f>
        <v>0</v>
      </c>
      <c r="O135" s="23" t="n">
        <f aca="false">'Qté 2027'!O135*$C135</f>
        <v>0</v>
      </c>
      <c r="P135" s="23" t="n">
        <f aca="false">'Qté 2027'!P135*$C135</f>
        <v>0</v>
      </c>
      <c r="Q135" s="23" t="n">
        <f aca="false">'Qté 2027'!Q135*$C135</f>
        <v>0</v>
      </c>
      <c r="R135" s="23" t="n">
        <f aca="false">'Qté 2027'!R135*$C135</f>
        <v>0</v>
      </c>
      <c r="S135" s="23" t="n">
        <f aca="false">'Qté 2027'!S135*$C135</f>
        <v>0</v>
      </c>
      <c r="T135" s="23" t="n">
        <f aca="false">'Qté 2027'!T135*$C135</f>
        <v>0</v>
      </c>
      <c r="U135" s="23" t="n">
        <f aca="false">'Qté 2027'!U135*$C135</f>
        <v>0.9</v>
      </c>
      <c r="V135" s="23" t="n">
        <f aca="false">'Qté 2027'!V135*$C135</f>
        <v>1.65</v>
      </c>
      <c r="W135" s="23" t="n">
        <f aca="false">'Qté 2027'!W135*$C135</f>
        <v>0.9</v>
      </c>
      <c r="X135" s="23" t="n">
        <f aca="false">'Qté 2027'!X135*$C135</f>
        <v>0</v>
      </c>
      <c r="Y135" s="23" t="n">
        <f aca="false">'Qté 2027'!Y135*$C135</f>
        <v>0</v>
      </c>
      <c r="Z135" s="23" t="n">
        <f aca="false">'Qté 2027'!Z135*$C135</f>
        <v>0</v>
      </c>
      <c r="AA135" s="23" t="n">
        <f aca="false">'Qté 2027'!AA135*$C135</f>
        <v>0</v>
      </c>
      <c r="AB135" s="23" t="n">
        <f aca="false">'Qté 2027'!AB135*$C135</f>
        <v>0</v>
      </c>
      <c r="AC135" s="23" t="n">
        <f aca="false">'Qté 2027'!AC135*$C135</f>
        <v>0.9</v>
      </c>
      <c r="AD135" s="23" t="n">
        <f aca="false">'Qté 2027'!AD135*$C135</f>
        <v>2.55</v>
      </c>
      <c r="AE135" s="23" t="n">
        <f aca="false">'Qté 2027'!AE135*$C135</f>
        <v>2.55</v>
      </c>
      <c r="AF135" s="23" t="n">
        <f aca="false">'Qté 2027'!AF135*$C135</f>
        <v>0.9</v>
      </c>
      <c r="AG135" s="23" t="n">
        <f aca="false">'Qté 2027'!AG135*$C135</f>
        <v>0</v>
      </c>
      <c r="AH135" s="23" t="n">
        <f aca="false">'Qté 2027'!AH135*$C135</f>
        <v>0</v>
      </c>
      <c r="AI135" s="23" t="n">
        <f aca="false">'Qté 2027'!AI135*$C135</f>
        <v>0</v>
      </c>
      <c r="AJ135" s="23" t="n">
        <f aca="false">'Qté 2027'!AJ135*$C135</f>
        <v>0</v>
      </c>
      <c r="AK135" s="23" t="n">
        <f aca="false">'Qté 2027'!AK135*$C135</f>
        <v>0</v>
      </c>
      <c r="AL135" s="23" t="n">
        <f aca="false">'Qté 2027'!AL135*$C135</f>
        <v>0</v>
      </c>
      <c r="AM135" s="23" t="n">
        <f aca="false">'Qté 2027'!AM135*$C135</f>
        <v>0</v>
      </c>
      <c r="AN135" s="23" t="n">
        <f aca="false">'Qté 2027'!AN135*$C135</f>
        <v>0</v>
      </c>
      <c r="AO135" s="23" t="n">
        <f aca="false">'Qté 2027'!AO135*$C135</f>
        <v>0</v>
      </c>
      <c r="AP135" s="23" t="n">
        <f aca="false">'Qté 2027'!AP135*$C135</f>
        <v>0</v>
      </c>
      <c r="AQ135" s="23" t="n">
        <f aca="false">'Qté 2027'!AQ135*$C135</f>
        <v>0</v>
      </c>
      <c r="AR135" s="23" t="n">
        <f aca="false">'Qté 2027'!AR135*$C135</f>
        <v>0</v>
      </c>
      <c r="AS135" s="23" t="n">
        <f aca="false">'Qté 2027'!AS135*$C135</f>
        <v>0</v>
      </c>
      <c r="AT135" s="23" t="n">
        <f aca="false">'Qté 2027'!AT135*$C135</f>
        <v>0</v>
      </c>
      <c r="AU135" s="23" t="n">
        <f aca="false">'Qté 2027'!AU135*$C135</f>
        <v>0</v>
      </c>
      <c r="AV135" s="23" t="n">
        <f aca="false">'Qté 2027'!AV135*$C135</f>
        <v>1.2</v>
      </c>
      <c r="AW135" s="23" t="n">
        <f aca="false">'Qté 2027'!AW135*$C135</f>
        <v>2.55</v>
      </c>
      <c r="AX135" s="23" t="n">
        <f aca="false">'Qté 2027'!AX135*$C135</f>
        <v>1.2</v>
      </c>
      <c r="AY135" s="23" t="n">
        <f aca="false">'Qté 2027'!AY135*$C135</f>
        <v>0</v>
      </c>
      <c r="AZ135" s="23" t="n">
        <f aca="false">'Qté 2027'!AZ135*$C135</f>
        <v>0</v>
      </c>
      <c r="BA135" s="23" t="n">
        <f aca="false">'Qté 2027'!BA135*$C135</f>
        <v>0</v>
      </c>
      <c r="BB135" s="23" t="n">
        <f aca="false">'Qté 2027'!BB135*$C135</f>
        <v>0</v>
      </c>
      <c r="BC135" s="23" t="n">
        <f aca="false">'Qté 2027'!BC135*$C135</f>
        <v>0</v>
      </c>
      <c r="BD135" s="15" t="n">
        <f aca="false">SUM(D135:BC135)</f>
        <v>15.3</v>
      </c>
    </row>
    <row r="136" customFormat="false" ht="15" hidden="false" customHeight="false" outlineLevel="0" collapsed="false">
      <c r="A136" s="5" t="s">
        <v>312</v>
      </c>
      <c r="B136" s="5" t="s">
        <v>69</v>
      </c>
      <c r="C136" s="22" t="n">
        <v>21.09</v>
      </c>
      <c r="D136" s="23" t="n">
        <f aca="false">'Qté 2027'!D136*$C136</f>
        <v>0</v>
      </c>
      <c r="E136" s="23" t="n">
        <f aca="false">'Qté 2027'!E136*$C136</f>
        <v>0</v>
      </c>
      <c r="F136" s="23" t="n">
        <f aca="false">'Qté 2027'!F136*$C136</f>
        <v>0</v>
      </c>
      <c r="G136" s="23" t="n">
        <f aca="false">'Qté 2027'!G136*$C136</f>
        <v>0</v>
      </c>
      <c r="H136" s="23" t="n">
        <f aca="false">'Qté 2027'!H136*$C136</f>
        <v>0</v>
      </c>
      <c r="I136" s="23" t="n">
        <f aca="false">'Qté 2027'!I136*$C136</f>
        <v>0</v>
      </c>
      <c r="J136" s="23" t="n">
        <f aca="false">'Qté 2027'!J136*$C136</f>
        <v>0</v>
      </c>
      <c r="K136" s="23" t="n">
        <f aca="false">'Qté 2027'!K136*$C136</f>
        <v>0</v>
      </c>
      <c r="L136" s="23" t="n">
        <f aca="false">'Qté 2027'!L136*$C136</f>
        <v>0</v>
      </c>
      <c r="M136" s="23" t="n">
        <f aca="false">'Qté 2027'!M136*$C136</f>
        <v>0</v>
      </c>
      <c r="N136" s="23" t="n">
        <f aca="false">'Qté 2027'!N136*$C136</f>
        <v>0</v>
      </c>
      <c r="O136" s="23" t="n">
        <f aca="false">'Qté 2027'!O136*$C136</f>
        <v>0</v>
      </c>
      <c r="P136" s="23" t="n">
        <f aca="false">'Qté 2027'!P136*$C136</f>
        <v>0</v>
      </c>
      <c r="Q136" s="23" t="n">
        <f aca="false">'Qté 2027'!Q136*$C136</f>
        <v>0</v>
      </c>
      <c r="R136" s="23" t="n">
        <f aca="false">'Qté 2027'!R136*$C136</f>
        <v>0</v>
      </c>
      <c r="S136" s="23" t="n">
        <f aca="false">'Qté 2027'!S136*$C136</f>
        <v>0</v>
      </c>
      <c r="T136" s="23" t="n">
        <f aca="false">'Qté 2027'!T136*$C136</f>
        <v>0</v>
      </c>
      <c r="U136" s="23" t="n">
        <f aca="false">'Qté 2027'!U136*$C136</f>
        <v>1.8981</v>
      </c>
      <c r="V136" s="23" t="n">
        <f aca="false">'Qté 2027'!V136*$C136</f>
        <v>3.7962</v>
      </c>
      <c r="W136" s="23" t="n">
        <f aca="false">'Qté 2027'!W136*$C136</f>
        <v>3.7962</v>
      </c>
      <c r="X136" s="23" t="n">
        <f aca="false">'Qté 2027'!X136*$C136</f>
        <v>3.7962</v>
      </c>
      <c r="Y136" s="23" t="n">
        <f aca="false">'Qté 2027'!Y136*$C136</f>
        <v>1.8981</v>
      </c>
      <c r="Z136" s="23" t="n">
        <f aca="false">'Qté 2027'!Z136*$C136</f>
        <v>0</v>
      </c>
      <c r="AA136" s="23" t="n">
        <f aca="false">'Qté 2027'!AA136*$C136</f>
        <v>0</v>
      </c>
      <c r="AB136" s="23" t="n">
        <f aca="false">'Qté 2027'!AB136*$C136</f>
        <v>0</v>
      </c>
      <c r="AC136" s="23" t="n">
        <f aca="false">'Qté 2027'!AC136*$C136</f>
        <v>0</v>
      </c>
      <c r="AD136" s="23" t="n">
        <f aca="false">'Qté 2027'!AD136*$C136</f>
        <v>0</v>
      </c>
      <c r="AE136" s="23" t="n">
        <f aca="false">'Qté 2027'!AE136*$C136</f>
        <v>0</v>
      </c>
      <c r="AF136" s="23" t="n">
        <f aca="false">'Qté 2027'!AF136*$C136</f>
        <v>0</v>
      </c>
      <c r="AG136" s="23" t="n">
        <f aca="false">'Qté 2027'!AG136*$C136</f>
        <v>0</v>
      </c>
      <c r="AH136" s="23" t="n">
        <f aca="false">'Qté 2027'!AH136*$C136</f>
        <v>0</v>
      </c>
      <c r="AI136" s="23" t="n">
        <f aca="false">'Qté 2027'!AI136*$C136</f>
        <v>0</v>
      </c>
      <c r="AJ136" s="23" t="n">
        <f aca="false">'Qté 2027'!AJ136*$C136</f>
        <v>0</v>
      </c>
      <c r="AK136" s="23" t="n">
        <f aca="false">'Qté 2027'!AK136*$C136</f>
        <v>0</v>
      </c>
      <c r="AL136" s="23" t="n">
        <f aca="false">'Qté 2027'!AL136*$C136</f>
        <v>0</v>
      </c>
      <c r="AM136" s="23" t="n">
        <f aca="false">'Qté 2027'!AM136*$C136</f>
        <v>0</v>
      </c>
      <c r="AN136" s="23" t="n">
        <f aca="false">'Qté 2027'!AN136*$C136</f>
        <v>0</v>
      </c>
      <c r="AO136" s="23" t="n">
        <f aca="false">'Qté 2027'!AO136*$C136</f>
        <v>0</v>
      </c>
      <c r="AP136" s="23" t="n">
        <f aca="false">'Qté 2027'!AP136*$C136</f>
        <v>0</v>
      </c>
      <c r="AQ136" s="23" t="n">
        <f aca="false">'Qté 2027'!AQ136*$C136</f>
        <v>0</v>
      </c>
      <c r="AR136" s="23" t="n">
        <f aca="false">'Qté 2027'!AR136*$C136</f>
        <v>0</v>
      </c>
      <c r="AS136" s="23" t="n">
        <f aca="false">'Qté 2027'!AS136*$C136</f>
        <v>0</v>
      </c>
      <c r="AT136" s="23" t="n">
        <f aca="false">'Qté 2027'!AT136*$C136</f>
        <v>0</v>
      </c>
      <c r="AU136" s="23" t="n">
        <f aca="false">'Qté 2027'!AU136*$C136</f>
        <v>0</v>
      </c>
      <c r="AV136" s="23" t="n">
        <f aca="false">'Qté 2027'!AV136*$C136</f>
        <v>0</v>
      </c>
      <c r="AW136" s="23" t="n">
        <f aca="false">'Qté 2027'!AW136*$C136</f>
        <v>0</v>
      </c>
      <c r="AX136" s="23" t="n">
        <f aca="false">'Qté 2027'!AX136*$C136</f>
        <v>0</v>
      </c>
      <c r="AY136" s="23" t="n">
        <f aca="false">'Qté 2027'!AY136*$C136</f>
        <v>0</v>
      </c>
      <c r="AZ136" s="23" t="n">
        <f aca="false">'Qté 2027'!AZ136*$C136</f>
        <v>0</v>
      </c>
      <c r="BA136" s="23" t="n">
        <f aca="false">'Qté 2027'!BA136*$C136</f>
        <v>0</v>
      </c>
      <c r="BB136" s="23" t="n">
        <f aca="false">'Qté 2027'!BB136*$C136</f>
        <v>0</v>
      </c>
      <c r="BC136" s="23" t="n">
        <f aca="false">'Qté 2027'!BC136*$C136</f>
        <v>0</v>
      </c>
      <c r="BD136" s="15" t="n">
        <f aca="false">SUM(D136:BC136)</f>
        <v>15.1848</v>
      </c>
    </row>
    <row r="137" customFormat="false" ht="15" hidden="false" customHeight="false" outlineLevel="0" collapsed="false">
      <c r="A137" s="5" t="s">
        <v>313</v>
      </c>
      <c r="B137" s="5" t="s">
        <v>57</v>
      </c>
      <c r="C137" s="22" t="n">
        <v>10</v>
      </c>
      <c r="D137" s="23" t="n">
        <f aca="false">'Qté 2027'!D137*$C137</f>
        <v>0</v>
      </c>
      <c r="E137" s="23" t="n">
        <f aca="false">'Qté 2027'!E137*$C137</f>
        <v>0</v>
      </c>
      <c r="F137" s="23" t="n">
        <f aca="false">'Qté 2027'!F137*$C137</f>
        <v>0</v>
      </c>
      <c r="G137" s="23" t="n">
        <f aca="false">'Qté 2027'!G137*$C137</f>
        <v>0</v>
      </c>
      <c r="H137" s="23" t="n">
        <f aca="false">'Qté 2027'!H137*$C137</f>
        <v>0</v>
      </c>
      <c r="I137" s="23" t="n">
        <f aca="false">'Qté 2027'!I137*$C137</f>
        <v>0</v>
      </c>
      <c r="J137" s="23" t="n">
        <f aca="false">'Qté 2027'!J137*$C137</f>
        <v>0</v>
      </c>
      <c r="K137" s="23" t="n">
        <f aca="false">'Qté 2027'!K137*$C137</f>
        <v>0</v>
      </c>
      <c r="L137" s="23" t="n">
        <f aca="false">'Qté 2027'!L137*$C137</f>
        <v>0</v>
      </c>
      <c r="M137" s="23" t="n">
        <f aca="false">'Qté 2027'!M137*$C137</f>
        <v>0</v>
      </c>
      <c r="N137" s="23" t="n">
        <f aca="false">'Qté 2027'!N137*$C137</f>
        <v>0</v>
      </c>
      <c r="O137" s="23" t="n">
        <f aca="false">'Qté 2027'!O137*$C137</f>
        <v>0</v>
      </c>
      <c r="P137" s="23" t="n">
        <f aca="false">'Qté 2027'!P137*$C137</f>
        <v>0</v>
      </c>
      <c r="Q137" s="23" t="n">
        <f aca="false">'Qté 2027'!Q137*$C137</f>
        <v>0</v>
      </c>
      <c r="R137" s="23" t="n">
        <f aca="false">'Qté 2027'!R137*$C137</f>
        <v>0</v>
      </c>
      <c r="S137" s="23" t="n">
        <f aca="false">'Qté 2027'!S137*$C137</f>
        <v>0</v>
      </c>
      <c r="T137" s="23" t="n">
        <f aca="false">'Qté 2027'!T137*$C137</f>
        <v>0.8</v>
      </c>
      <c r="U137" s="23" t="n">
        <f aca="false">'Qté 2027'!U137*$C137</f>
        <v>2.4</v>
      </c>
      <c r="V137" s="23" t="n">
        <f aca="false">'Qté 2027'!V137*$C137</f>
        <v>2.4</v>
      </c>
      <c r="W137" s="23" t="n">
        <f aca="false">'Qté 2027'!W137*$C137</f>
        <v>0.8</v>
      </c>
      <c r="X137" s="23" t="n">
        <f aca="false">'Qté 2027'!X137*$C137</f>
        <v>0.8</v>
      </c>
      <c r="Y137" s="23" t="n">
        <f aca="false">'Qté 2027'!Y137*$C137</f>
        <v>1.6</v>
      </c>
      <c r="Z137" s="23" t="n">
        <f aca="false">'Qté 2027'!Z137*$C137</f>
        <v>0.8</v>
      </c>
      <c r="AA137" s="23" t="n">
        <f aca="false">'Qté 2027'!AA137*$C137</f>
        <v>0.8</v>
      </c>
      <c r="AB137" s="23" t="n">
        <f aca="false">'Qté 2027'!AB137*$C137</f>
        <v>2.1</v>
      </c>
      <c r="AC137" s="23" t="n">
        <f aca="false">'Qté 2027'!AC137*$C137</f>
        <v>1.9</v>
      </c>
      <c r="AD137" s="23" t="n">
        <f aca="false">'Qté 2027'!AD137*$C137</f>
        <v>0.6</v>
      </c>
      <c r="AE137" s="23" t="n">
        <f aca="false">'Qté 2027'!AE137*$C137</f>
        <v>0</v>
      </c>
      <c r="AF137" s="23" t="n">
        <f aca="false">'Qté 2027'!AF137*$C137</f>
        <v>0</v>
      </c>
      <c r="AG137" s="23" t="n">
        <f aca="false">'Qté 2027'!AG137*$C137</f>
        <v>0</v>
      </c>
      <c r="AH137" s="23" t="n">
        <f aca="false">'Qté 2027'!AH137*$C137</f>
        <v>0</v>
      </c>
      <c r="AI137" s="23" t="n">
        <f aca="false">'Qté 2027'!AI137*$C137</f>
        <v>0</v>
      </c>
      <c r="AJ137" s="23" t="n">
        <f aca="false">'Qté 2027'!AJ137*$C137</f>
        <v>0</v>
      </c>
      <c r="AK137" s="23" t="n">
        <f aca="false">'Qté 2027'!AK137*$C137</f>
        <v>0</v>
      </c>
      <c r="AL137" s="23" t="n">
        <f aca="false">'Qté 2027'!AL137*$C137</f>
        <v>0</v>
      </c>
      <c r="AM137" s="23" t="n">
        <f aca="false">'Qté 2027'!AM137*$C137</f>
        <v>0</v>
      </c>
      <c r="AN137" s="23" t="n">
        <f aca="false">'Qté 2027'!AN137*$C137</f>
        <v>0</v>
      </c>
      <c r="AO137" s="23" t="n">
        <f aca="false">'Qté 2027'!AO137*$C137</f>
        <v>0</v>
      </c>
      <c r="AP137" s="23" t="n">
        <f aca="false">'Qté 2027'!AP137*$C137</f>
        <v>0</v>
      </c>
      <c r="AQ137" s="23" t="n">
        <f aca="false">'Qté 2027'!AQ137*$C137</f>
        <v>0</v>
      </c>
      <c r="AR137" s="23" t="n">
        <f aca="false">'Qté 2027'!AR137*$C137</f>
        <v>0</v>
      </c>
      <c r="AS137" s="23" t="n">
        <f aca="false">'Qté 2027'!AS137*$C137</f>
        <v>0</v>
      </c>
      <c r="AT137" s="23" t="n">
        <f aca="false">'Qté 2027'!AT137*$C137</f>
        <v>0</v>
      </c>
      <c r="AU137" s="23" t="n">
        <f aca="false">'Qté 2027'!AU137*$C137</f>
        <v>0</v>
      </c>
      <c r="AV137" s="23" t="n">
        <f aca="false">'Qté 2027'!AV137*$C137</f>
        <v>0</v>
      </c>
      <c r="AW137" s="23" t="n">
        <f aca="false">'Qté 2027'!AW137*$C137</f>
        <v>0</v>
      </c>
      <c r="AX137" s="23" t="n">
        <f aca="false">'Qté 2027'!AX137*$C137</f>
        <v>0</v>
      </c>
      <c r="AY137" s="23" t="n">
        <f aca="false">'Qté 2027'!AY137*$C137</f>
        <v>0</v>
      </c>
      <c r="AZ137" s="23" t="n">
        <f aca="false">'Qté 2027'!AZ137*$C137</f>
        <v>0</v>
      </c>
      <c r="BA137" s="23" t="n">
        <f aca="false">'Qté 2027'!BA137*$C137</f>
        <v>0</v>
      </c>
      <c r="BB137" s="23" t="n">
        <f aca="false">'Qté 2027'!BB137*$C137</f>
        <v>0</v>
      </c>
      <c r="BC137" s="23" t="n">
        <f aca="false">'Qté 2027'!BC137*$C137</f>
        <v>0</v>
      </c>
      <c r="BD137" s="15" t="n">
        <f aca="false">SUM(D137:BC137)</f>
        <v>15</v>
      </c>
    </row>
    <row r="138" customFormat="false" ht="15" hidden="false" customHeight="false" outlineLevel="0" collapsed="false">
      <c r="A138" s="5" t="s">
        <v>314</v>
      </c>
      <c r="B138" s="5" t="s">
        <v>57</v>
      </c>
      <c r="C138" s="22" t="n">
        <v>5.04</v>
      </c>
      <c r="D138" s="23" t="n">
        <f aca="false">'Qté 2027'!D138*$C138</f>
        <v>0</v>
      </c>
      <c r="E138" s="23" t="n">
        <f aca="false">'Qté 2027'!E138*$C138</f>
        <v>0</v>
      </c>
      <c r="F138" s="23" t="n">
        <f aca="false">'Qté 2027'!F138*$C138</f>
        <v>0</v>
      </c>
      <c r="G138" s="23" t="n">
        <f aca="false">'Qté 2027'!G138*$C138</f>
        <v>0</v>
      </c>
      <c r="H138" s="23" t="n">
        <f aca="false">'Qté 2027'!H138*$C138</f>
        <v>0</v>
      </c>
      <c r="I138" s="23" t="n">
        <f aca="false">'Qté 2027'!I138*$C138</f>
        <v>0</v>
      </c>
      <c r="J138" s="23" t="n">
        <f aca="false">'Qté 2027'!J138*$C138</f>
        <v>0</v>
      </c>
      <c r="K138" s="23" t="n">
        <f aca="false">'Qté 2027'!K138*$C138</f>
        <v>0</v>
      </c>
      <c r="L138" s="23" t="n">
        <f aca="false">'Qté 2027'!L138*$C138</f>
        <v>0</v>
      </c>
      <c r="M138" s="23" t="n">
        <f aca="false">'Qté 2027'!M138*$C138</f>
        <v>0.4536</v>
      </c>
      <c r="N138" s="23" t="n">
        <f aca="false">'Qté 2027'!N138*$C138</f>
        <v>1.26</v>
      </c>
      <c r="O138" s="23" t="n">
        <f aca="false">'Qté 2027'!O138*$C138</f>
        <v>1.4616</v>
      </c>
      <c r="P138" s="23" t="n">
        <f aca="false">'Qté 2027'!P138*$C138</f>
        <v>1.008</v>
      </c>
      <c r="Q138" s="23" t="n">
        <f aca="false">'Qté 2027'!Q138*$C138</f>
        <v>0.3528</v>
      </c>
      <c r="R138" s="23" t="n">
        <f aca="false">'Qté 2027'!R138*$C138</f>
        <v>0.9072</v>
      </c>
      <c r="S138" s="23" t="n">
        <f aca="false">'Qté 2027'!S138*$C138</f>
        <v>1.8144</v>
      </c>
      <c r="T138" s="23" t="n">
        <f aca="false">'Qté 2027'!T138*$C138</f>
        <v>0.9072</v>
      </c>
      <c r="U138" s="23" t="n">
        <f aca="false">'Qté 2027'!U138*$C138</f>
        <v>0.252</v>
      </c>
      <c r="V138" s="23" t="n">
        <f aca="false">'Qté 2027'!V138*$C138</f>
        <v>0.756</v>
      </c>
      <c r="W138" s="23" t="n">
        <f aca="false">'Qté 2027'!W138*$C138</f>
        <v>1.1592</v>
      </c>
      <c r="X138" s="23" t="n">
        <f aca="false">'Qté 2027'!X138*$C138</f>
        <v>1.2096</v>
      </c>
      <c r="Y138" s="23" t="n">
        <f aca="false">'Qté 2027'!Y138*$C138</f>
        <v>0.8064</v>
      </c>
      <c r="Z138" s="23" t="n">
        <f aca="false">'Qté 2027'!Z138*$C138</f>
        <v>0.252</v>
      </c>
      <c r="AA138" s="23" t="n">
        <f aca="false">'Qté 2027'!AA138*$C138</f>
        <v>0.4536</v>
      </c>
      <c r="AB138" s="23" t="n">
        <f aca="false">'Qté 2027'!AB138*$C138</f>
        <v>0.9072</v>
      </c>
      <c r="AC138" s="23" t="n">
        <f aca="false">'Qté 2027'!AC138*$C138</f>
        <v>0.4536</v>
      </c>
      <c r="AD138" s="23" t="n">
        <f aca="false">'Qté 2027'!AD138*$C138</f>
        <v>0</v>
      </c>
      <c r="AE138" s="23" t="n">
        <f aca="false">'Qté 2027'!AE138*$C138</f>
        <v>0</v>
      </c>
      <c r="AF138" s="23" t="n">
        <f aca="false">'Qté 2027'!AF138*$C138</f>
        <v>0</v>
      </c>
      <c r="AG138" s="23" t="n">
        <f aca="false">'Qté 2027'!AG138*$C138</f>
        <v>0</v>
      </c>
      <c r="AH138" s="23" t="n">
        <f aca="false">'Qté 2027'!AH138*$C138</f>
        <v>0</v>
      </c>
      <c r="AI138" s="23" t="n">
        <f aca="false">'Qté 2027'!AI138*$C138</f>
        <v>0</v>
      </c>
      <c r="AJ138" s="23" t="n">
        <f aca="false">'Qté 2027'!AJ138*$C138</f>
        <v>0</v>
      </c>
      <c r="AK138" s="23" t="n">
        <f aca="false">'Qté 2027'!AK138*$C138</f>
        <v>0</v>
      </c>
      <c r="AL138" s="23" t="n">
        <f aca="false">'Qté 2027'!AL138*$C138</f>
        <v>0</v>
      </c>
      <c r="AM138" s="23" t="n">
        <f aca="false">'Qté 2027'!AM138*$C138</f>
        <v>0</v>
      </c>
      <c r="AN138" s="23" t="n">
        <f aca="false">'Qté 2027'!AN138*$C138</f>
        <v>0</v>
      </c>
      <c r="AO138" s="23" t="n">
        <f aca="false">'Qté 2027'!AO138*$C138</f>
        <v>0</v>
      </c>
      <c r="AP138" s="23" t="n">
        <f aca="false">'Qté 2027'!AP138*$C138</f>
        <v>0</v>
      </c>
      <c r="AQ138" s="23" t="n">
        <f aca="false">'Qté 2027'!AQ138*$C138</f>
        <v>0</v>
      </c>
      <c r="AR138" s="23" t="n">
        <f aca="false">'Qté 2027'!AR138*$C138</f>
        <v>0</v>
      </c>
      <c r="AS138" s="23" t="n">
        <f aca="false">'Qté 2027'!AS138*$C138</f>
        <v>0</v>
      </c>
      <c r="AT138" s="23" t="n">
        <f aca="false">'Qté 2027'!AT138*$C138</f>
        <v>0</v>
      </c>
      <c r="AU138" s="23" t="n">
        <f aca="false">'Qté 2027'!AU138*$C138</f>
        <v>0</v>
      </c>
      <c r="AV138" s="23" t="n">
        <f aca="false">'Qté 2027'!AV138*$C138</f>
        <v>0</v>
      </c>
      <c r="AW138" s="23" t="n">
        <f aca="false">'Qté 2027'!AW138*$C138</f>
        <v>0</v>
      </c>
      <c r="AX138" s="23" t="n">
        <f aca="false">'Qté 2027'!AX138*$C138</f>
        <v>0</v>
      </c>
      <c r="AY138" s="23" t="n">
        <f aca="false">'Qté 2027'!AY138*$C138</f>
        <v>0</v>
      </c>
      <c r="AZ138" s="23" t="n">
        <f aca="false">'Qté 2027'!AZ138*$C138</f>
        <v>0</v>
      </c>
      <c r="BA138" s="23" t="n">
        <f aca="false">'Qté 2027'!BA138*$C138</f>
        <v>0</v>
      </c>
      <c r="BB138" s="23" t="n">
        <f aca="false">'Qté 2027'!BB138*$C138</f>
        <v>0</v>
      </c>
      <c r="BC138" s="23" t="n">
        <f aca="false">'Qté 2027'!BC138*$C138</f>
        <v>0</v>
      </c>
      <c r="BD138" s="15" t="n">
        <f aca="false">SUM(D138:BC138)</f>
        <v>14.4144</v>
      </c>
    </row>
    <row r="139" customFormat="false" ht="15" hidden="false" customHeight="false" outlineLevel="0" collapsed="false">
      <c r="A139" s="5" t="s">
        <v>315</v>
      </c>
      <c r="B139" s="5" t="s">
        <v>63</v>
      </c>
      <c r="C139" s="22" t="n">
        <v>22.5</v>
      </c>
      <c r="D139" s="23" t="n">
        <f aca="false">'Qté 2027'!D139*$C139</f>
        <v>0</v>
      </c>
      <c r="E139" s="23" t="n">
        <f aca="false">'Qté 2027'!E139*$C139</f>
        <v>0</v>
      </c>
      <c r="F139" s="23" t="n">
        <f aca="false">'Qté 2027'!F139*$C139</f>
        <v>0</v>
      </c>
      <c r="G139" s="23" t="n">
        <f aca="false">'Qté 2027'!G139*$C139</f>
        <v>0</v>
      </c>
      <c r="H139" s="23" t="n">
        <f aca="false">'Qté 2027'!H139*$C139</f>
        <v>0</v>
      </c>
      <c r="I139" s="23" t="n">
        <f aca="false">'Qté 2027'!I139*$C139</f>
        <v>0</v>
      </c>
      <c r="J139" s="23" t="n">
        <f aca="false">'Qté 2027'!J139*$C139</f>
        <v>0</v>
      </c>
      <c r="K139" s="23" t="n">
        <f aca="false">'Qté 2027'!K139*$C139</f>
        <v>0</v>
      </c>
      <c r="L139" s="23" t="n">
        <f aca="false">'Qté 2027'!L139*$C139</f>
        <v>0</v>
      </c>
      <c r="M139" s="23" t="n">
        <f aca="false">'Qté 2027'!M139*$C139</f>
        <v>0</v>
      </c>
      <c r="N139" s="23" t="n">
        <f aca="false">'Qté 2027'!N139*$C139</f>
        <v>0</v>
      </c>
      <c r="O139" s="23" t="n">
        <f aca="false">'Qté 2027'!O139*$C139</f>
        <v>0</v>
      </c>
      <c r="P139" s="23" t="n">
        <f aca="false">'Qté 2027'!P139*$C139</f>
        <v>0</v>
      </c>
      <c r="Q139" s="23" t="n">
        <f aca="false">'Qté 2027'!Q139*$C139</f>
        <v>0</v>
      </c>
      <c r="R139" s="23" t="n">
        <f aca="false">'Qté 2027'!R139*$C139</f>
        <v>0</v>
      </c>
      <c r="S139" s="23" t="n">
        <f aca="false">'Qté 2027'!S139*$C139</f>
        <v>0</v>
      </c>
      <c r="T139" s="23" t="n">
        <f aca="false">'Qté 2027'!T139*$C139</f>
        <v>0</v>
      </c>
      <c r="U139" s="23" t="n">
        <f aca="false">'Qté 2027'!U139*$C139</f>
        <v>0</v>
      </c>
      <c r="V139" s="23" t="n">
        <f aca="false">'Qté 2027'!V139*$C139</f>
        <v>0</v>
      </c>
      <c r="W139" s="23" t="n">
        <f aca="false">'Qté 2027'!W139*$C139</f>
        <v>0</v>
      </c>
      <c r="X139" s="23" t="n">
        <f aca="false">'Qté 2027'!X139*$C139</f>
        <v>0</v>
      </c>
      <c r="Y139" s="23" t="n">
        <f aca="false">'Qté 2027'!Y139*$C139</f>
        <v>3.6</v>
      </c>
      <c r="Z139" s="23" t="n">
        <f aca="false">'Qté 2027'!Z139*$C139</f>
        <v>7.2</v>
      </c>
      <c r="AA139" s="23" t="n">
        <f aca="false">'Qté 2027'!AA139*$C139</f>
        <v>3.6</v>
      </c>
      <c r="AB139" s="23" t="n">
        <f aca="false">'Qté 2027'!AB139*$C139</f>
        <v>0</v>
      </c>
      <c r="AC139" s="23" t="n">
        <f aca="false">'Qté 2027'!AC139*$C139</f>
        <v>0</v>
      </c>
      <c r="AD139" s="23" t="n">
        <f aca="false">'Qté 2027'!AD139*$C139</f>
        <v>0</v>
      </c>
      <c r="AE139" s="23" t="n">
        <f aca="false">'Qté 2027'!AE139*$C139</f>
        <v>0</v>
      </c>
      <c r="AF139" s="23" t="n">
        <f aca="false">'Qté 2027'!AF139*$C139</f>
        <v>0</v>
      </c>
      <c r="AG139" s="23" t="n">
        <f aca="false">'Qté 2027'!AG139*$C139</f>
        <v>0</v>
      </c>
      <c r="AH139" s="23" t="n">
        <f aca="false">'Qté 2027'!AH139*$C139</f>
        <v>0</v>
      </c>
      <c r="AI139" s="23" t="n">
        <f aca="false">'Qté 2027'!AI139*$C139</f>
        <v>0</v>
      </c>
      <c r="AJ139" s="23" t="n">
        <f aca="false">'Qté 2027'!AJ139*$C139</f>
        <v>0</v>
      </c>
      <c r="AK139" s="23" t="n">
        <f aca="false">'Qté 2027'!AK139*$C139</f>
        <v>0</v>
      </c>
      <c r="AL139" s="23" t="n">
        <f aca="false">'Qté 2027'!AL139*$C139</f>
        <v>0</v>
      </c>
      <c r="AM139" s="23" t="n">
        <f aca="false">'Qté 2027'!AM139*$C139</f>
        <v>0</v>
      </c>
      <c r="AN139" s="23" t="n">
        <f aca="false">'Qté 2027'!AN139*$C139</f>
        <v>0</v>
      </c>
      <c r="AO139" s="23" t="n">
        <f aca="false">'Qté 2027'!AO139*$C139</f>
        <v>0</v>
      </c>
      <c r="AP139" s="23" t="n">
        <f aca="false">'Qté 2027'!AP139*$C139</f>
        <v>0</v>
      </c>
      <c r="AQ139" s="23" t="n">
        <f aca="false">'Qté 2027'!AQ139*$C139</f>
        <v>0</v>
      </c>
      <c r="AR139" s="23" t="n">
        <f aca="false">'Qté 2027'!AR139*$C139</f>
        <v>0</v>
      </c>
      <c r="AS139" s="23" t="n">
        <f aca="false">'Qté 2027'!AS139*$C139</f>
        <v>0</v>
      </c>
      <c r="AT139" s="23" t="n">
        <f aca="false">'Qté 2027'!AT139*$C139</f>
        <v>0</v>
      </c>
      <c r="AU139" s="23" t="n">
        <f aca="false">'Qté 2027'!AU139*$C139</f>
        <v>0</v>
      </c>
      <c r="AV139" s="23" t="n">
        <f aca="false">'Qté 2027'!AV139*$C139</f>
        <v>0</v>
      </c>
      <c r="AW139" s="23" t="n">
        <f aca="false">'Qté 2027'!AW139*$C139</f>
        <v>0</v>
      </c>
      <c r="AX139" s="23" t="n">
        <f aca="false">'Qté 2027'!AX139*$C139</f>
        <v>0</v>
      </c>
      <c r="AY139" s="23" t="n">
        <f aca="false">'Qté 2027'!AY139*$C139</f>
        <v>0</v>
      </c>
      <c r="AZ139" s="23" t="n">
        <f aca="false">'Qté 2027'!AZ139*$C139</f>
        <v>0</v>
      </c>
      <c r="BA139" s="23" t="n">
        <f aca="false">'Qté 2027'!BA139*$C139</f>
        <v>0</v>
      </c>
      <c r="BB139" s="23" t="n">
        <f aca="false">'Qté 2027'!BB139*$C139</f>
        <v>0</v>
      </c>
      <c r="BC139" s="23" t="n">
        <f aca="false">'Qté 2027'!BC139*$C139</f>
        <v>0</v>
      </c>
      <c r="BD139" s="15" t="n">
        <f aca="false">SUM(D139:BC139)</f>
        <v>14.4</v>
      </c>
    </row>
    <row r="140" customFormat="false" ht="15" hidden="false" customHeight="false" outlineLevel="0" collapsed="false">
      <c r="A140" s="5" t="s">
        <v>316</v>
      </c>
      <c r="B140" s="5" t="s">
        <v>63</v>
      </c>
      <c r="C140" s="22" t="n">
        <v>44</v>
      </c>
      <c r="D140" s="23" t="n">
        <f aca="false">'Qté 2027'!D140*$C140</f>
        <v>0</v>
      </c>
      <c r="E140" s="23" t="n">
        <f aca="false">'Qté 2027'!E140*$C140</f>
        <v>0</v>
      </c>
      <c r="F140" s="23" t="n">
        <f aca="false">'Qté 2027'!F140*$C140</f>
        <v>0</v>
      </c>
      <c r="G140" s="23" t="n">
        <f aca="false">'Qté 2027'!G140*$C140</f>
        <v>0</v>
      </c>
      <c r="H140" s="23" t="n">
        <f aca="false">'Qté 2027'!H140*$C140</f>
        <v>0</v>
      </c>
      <c r="I140" s="23" t="n">
        <f aca="false">'Qté 2027'!I140*$C140</f>
        <v>0</v>
      </c>
      <c r="J140" s="23" t="n">
        <f aca="false">'Qté 2027'!J140*$C140</f>
        <v>0</v>
      </c>
      <c r="K140" s="23" t="n">
        <f aca="false">'Qté 2027'!K140*$C140</f>
        <v>0</v>
      </c>
      <c r="L140" s="23" t="n">
        <f aca="false">'Qté 2027'!L140*$C140</f>
        <v>0</v>
      </c>
      <c r="M140" s="23" t="n">
        <f aca="false">'Qté 2027'!M140*$C140</f>
        <v>0</v>
      </c>
      <c r="N140" s="23" t="n">
        <f aca="false">'Qté 2027'!N140*$C140</f>
        <v>0</v>
      </c>
      <c r="O140" s="23" t="n">
        <f aca="false">'Qté 2027'!O140*$C140</f>
        <v>0</v>
      </c>
      <c r="P140" s="23" t="n">
        <f aca="false">'Qté 2027'!P140*$C140</f>
        <v>0</v>
      </c>
      <c r="Q140" s="23" t="n">
        <f aca="false">'Qté 2027'!Q140*$C140</f>
        <v>0</v>
      </c>
      <c r="R140" s="23" t="n">
        <f aca="false">'Qté 2027'!R140*$C140</f>
        <v>0</v>
      </c>
      <c r="S140" s="23" t="n">
        <f aca="false">'Qté 2027'!S140*$C140</f>
        <v>0</v>
      </c>
      <c r="T140" s="23" t="n">
        <f aca="false">'Qté 2027'!T140*$C140</f>
        <v>0</v>
      </c>
      <c r="U140" s="23" t="n">
        <f aca="false">'Qté 2027'!U140*$C140</f>
        <v>0</v>
      </c>
      <c r="V140" s="23" t="n">
        <f aca="false">'Qté 2027'!V140*$C140</f>
        <v>0</v>
      </c>
      <c r="W140" s="23" t="n">
        <f aca="false">'Qté 2027'!W140*$C140</f>
        <v>0</v>
      </c>
      <c r="X140" s="23" t="n">
        <f aca="false">'Qté 2027'!X140*$C140</f>
        <v>0</v>
      </c>
      <c r="Y140" s="23" t="n">
        <f aca="false">'Qté 2027'!Y140*$C140</f>
        <v>0</v>
      </c>
      <c r="Z140" s="23" t="n">
        <f aca="false">'Qté 2027'!Z140*$C140</f>
        <v>0</v>
      </c>
      <c r="AA140" s="23" t="n">
        <f aca="false">'Qté 2027'!AA140*$C140</f>
        <v>0</v>
      </c>
      <c r="AB140" s="23" t="n">
        <f aca="false">'Qté 2027'!AB140*$C140</f>
        <v>3.52</v>
      </c>
      <c r="AC140" s="23" t="n">
        <f aca="false">'Qté 2027'!AC140*$C140</f>
        <v>7.04</v>
      </c>
      <c r="AD140" s="23" t="n">
        <f aca="false">'Qté 2027'!AD140*$C140</f>
        <v>3.52</v>
      </c>
      <c r="AE140" s="23" t="n">
        <f aca="false">'Qté 2027'!AE140*$C140</f>
        <v>0</v>
      </c>
      <c r="AF140" s="23" t="n">
        <f aca="false">'Qté 2027'!AF140*$C140</f>
        <v>0</v>
      </c>
      <c r="AG140" s="23" t="n">
        <f aca="false">'Qté 2027'!AG140*$C140</f>
        <v>0</v>
      </c>
      <c r="AH140" s="23" t="n">
        <f aca="false">'Qté 2027'!AH140*$C140</f>
        <v>0</v>
      </c>
      <c r="AI140" s="23" t="n">
        <f aca="false">'Qté 2027'!AI140*$C140</f>
        <v>0</v>
      </c>
      <c r="AJ140" s="23" t="n">
        <f aca="false">'Qté 2027'!AJ140*$C140</f>
        <v>0</v>
      </c>
      <c r="AK140" s="23" t="n">
        <f aca="false">'Qté 2027'!AK140*$C140</f>
        <v>0</v>
      </c>
      <c r="AL140" s="23" t="n">
        <f aca="false">'Qté 2027'!AL140*$C140</f>
        <v>0</v>
      </c>
      <c r="AM140" s="23" t="n">
        <f aca="false">'Qté 2027'!AM140*$C140</f>
        <v>0</v>
      </c>
      <c r="AN140" s="23" t="n">
        <f aca="false">'Qté 2027'!AN140*$C140</f>
        <v>0</v>
      </c>
      <c r="AO140" s="23" t="n">
        <f aca="false">'Qté 2027'!AO140*$C140</f>
        <v>0</v>
      </c>
      <c r="AP140" s="23" t="n">
        <f aca="false">'Qté 2027'!AP140*$C140</f>
        <v>0</v>
      </c>
      <c r="AQ140" s="23" t="n">
        <f aca="false">'Qté 2027'!AQ140*$C140</f>
        <v>0</v>
      </c>
      <c r="AR140" s="23" t="n">
        <f aca="false">'Qté 2027'!AR140*$C140</f>
        <v>0</v>
      </c>
      <c r="AS140" s="23" t="n">
        <f aca="false">'Qté 2027'!AS140*$C140</f>
        <v>0</v>
      </c>
      <c r="AT140" s="23" t="n">
        <f aca="false">'Qté 2027'!AT140*$C140</f>
        <v>0</v>
      </c>
      <c r="AU140" s="23" t="n">
        <f aca="false">'Qté 2027'!AU140*$C140</f>
        <v>0</v>
      </c>
      <c r="AV140" s="23" t="n">
        <f aca="false">'Qté 2027'!AV140*$C140</f>
        <v>0</v>
      </c>
      <c r="AW140" s="23" t="n">
        <f aca="false">'Qté 2027'!AW140*$C140</f>
        <v>0</v>
      </c>
      <c r="AX140" s="23" t="n">
        <f aca="false">'Qté 2027'!AX140*$C140</f>
        <v>0</v>
      </c>
      <c r="AY140" s="23" t="n">
        <f aca="false">'Qté 2027'!AY140*$C140</f>
        <v>0</v>
      </c>
      <c r="AZ140" s="23" t="n">
        <f aca="false">'Qté 2027'!AZ140*$C140</f>
        <v>0</v>
      </c>
      <c r="BA140" s="23" t="n">
        <f aca="false">'Qté 2027'!BA140*$C140</f>
        <v>0</v>
      </c>
      <c r="BB140" s="23" t="n">
        <f aca="false">'Qté 2027'!BB140*$C140</f>
        <v>0</v>
      </c>
      <c r="BC140" s="23" t="n">
        <f aca="false">'Qté 2027'!BC140*$C140</f>
        <v>0</v>
      </c>
      <c r="BD140" s="15" t="n">
        <f aca="false">SUM(D140:BC140)</f>
        <v>14.08</v>
      </c>
    </row>
    <row r="141" customFormat="false" ht="15" hidden="false" customHeight="false" outlineLevel="0" collapsed="false">
      <c r="A141" s="5" t="s">
        <v>317</v>
      </c>
      <c r="B141" s="5" t="s">
        <v>45</v>
      </c>
      <c r="C141" s="22" t="n">
        <v>14.52</v>
      </c>
      <c r="D141" s="23" t="n">
        <f aca="false">'Qté 2027'!D141*$C141</f>
        <v>0</v>
      </c>
      <c r="E141" s="23" t="n">
        <f aca="false">'Qté 2027'!E141*$C141</f>
        <v>0</v>
      </c>
      <c r="F141" s="23" t="n">
        <f aca="false">'Qté 2027'!F141*$C141</f>
        <v>0</v>
      </c>
      <c r="G141" s="23" t="n">
        <f aca="false">'Qté 2027'!G141*$C141</f>
        <v>0</v>
      </c>
      <c r="H141" s="23" t="n">
        <f aca="false">'Qté 2027'!H141*$C141</f>
        <v>0</v>
      </c>
      <c r="I141" s="23" t="n">
        <f aca="false">'Qté 2027'!I141*$C141</f>
        <v>0</v>
      </c>
      <c r="J141" s="23" t="n">
        <f aca="false">'Qté 2027'!J141*$C141</f>
        <v>0</v>
      </c>
      <c r="K141" s="23" t="n">
        <f aca="false">'Qté 2027'!K141*$C141</f>
        <v>0</v>
      </c>
      <c r="L141" s="23" t="n">
        <f aca="false">'Qté 2027'!L141*$C141</f>
        <v>0</v>
      </c>
      <c r="M141" s="23" t="n">
        <f aca="false">'Qté 2027'!M141*$C141</f>
        <v>0</v>
      </c>
      <c r="N141" s="23" t="n">
        <f aca="false">'Qté 2027'!N141*$C141</f>
        <v>0</v>
      </c>
      <c r="O141" s="23" t="n">
        <f aca="false">'Qté 2027'!O141*$C141</f>
        <v>0</v>
      </c>
      <c r="P141" s="23" t="n">
        <f aca="false">'Qté 2027'!P141*$C141</f>
        <v>0</v>
      </c>
      <c r="Q141" s="23" t="n">
        <f aca="false">'Qté 2027'!Q141*$C141</f>
        <v>0</v>
      </c>
      <c r="R141" s="23" t="n">
        <f aca="false">'Qté 2027'!R141*$C141</f>
        <v>0</v>
      </c>
      <c r="S141" s="23" t="n">
        <f aca="false">'Qté 2027'!S141*$C141</f>
        <v>0</v>
      </c>
      <c r="T141" s="23" t="n">
        <f aca="false">'Qté 2027'!T141*$C141</f>
        <v>0</v>
      </c>
      <c r="U141" s="23" t="n">
        <f aca="false">'Qté 2027'!U141*$C141</f>
        <v>0.2904</v>
      </c>
      <c r="V141" s="23" t="n">
        <f aca="false">'Qté 2027'!V141*$C141</f>
        <v>0.726</v>
      </c>
      <c r="W141" s="23" t="n">
        <f aca="false">'Qté 2027'!W141*$C141</f>
        <v>0.2904</v>
      </c>
      <c r="X141" s="23" t="n">
        <f aca="false">'Qté 2027'!X141*$C141</f>
        <v>0</v>
      </c>
      <c r="Y141" s="23" t="n">
        <f aca="false">'Qté 2027'!Y141*$C141</f>
        <v>0</v>
      </c>
      <c r="Z141" s="23" t="n">
        <f aca="false">'Qté 2027'!Z141*$C141</f>
        <v>0</v>
      </c>
      <c r="AA141" s="23" t="n">
        <f aca="false">'Qté 2027'!AA141*$C141</f>
        <v>0</v>
      </c>
      <c r="AB141" s="23" t="n">
        <f aca="false">'Qté 2027'!AB141*$C141</f>
        <v>0</v>
      </c>
      <c r="AC141" s="23" t="n">
        <f aca="false">'Qté 2027'!AC141*$C141</f>
        <v>0</v>
      </c>
      <c r="AD141" s="23" t="n">
        <f aca="false">'Qté 2027'!AD141*$C141</f>
        <v>0</v>
      </c>
      <c r="AE141" s="23" t="n">
        <f aca="false">'Qté 2027'!AE141*$C141</f>
        <v>0</v>
      </c>
      <c r="AF141" s="23" t="n">
        <f aca="false">'Qté 2027'!AF141*$C141</f>
        <v>0</v>
      </c>
      <c r="AG141" s="23" t="n">
        <f aca="false">'Qté 2027'!AG141*$C141</f>
        <v>0</v>
      </c>
      <c r="AH141" s="23" t="n">
        <f aca="false">'Qté 2027'!AH141*$C141</f>
        <v>3.1944</v>
      </c>
      <c r="AI141" s="23" t="n">
        <f aca="false">'Qté 2027'!AI141*$C141</f>
        <v>6.2436</v>
      </c>
      <c r="AJ141" s="23" t="n">
        <f aca="false">'Qté 2027'!AJ141*$C141</f>
        <v>3.1944</v>
      </c>
      <c r="AK141" s="23" t="n">
        <f aca="false">'Qté 2027'!AK141*$C141</f>
        <v>0</v>
      </c>
      <c r="AL141" s="23" t="n">
        <f aca="false">'Qté 2027'!AL141*$C141</f>
        <v>0</v>
      </c>
      <c r="AM141" s="23" t="n">
        <f aca="false">'Qté 2027'!AM141*$C141</f>
        <v>0</v>
      </c>
      <c r="AN141" s="23" t="n">
        <f aca="false">'Qté 2027'!AN141*$C141</f>
        <v>0</v>
      </c>
      <c r="AO141" s="23" t="n">
        <f aca="false">'Qté 2027'!AO141*$C141</f>
        <v>0</v>
      </c>
      <c r="AP141" s="23" t="n">
        <f aca="false">'Qté 2027'!AP141*$C141</f>
        <v>0</v>
      </c>
      <c r="AQ141" s="23" t="n">
        <f aca="false">'Qté 2027'!AQ141*$C141</f>
        <v>0</v>
      </c>
      <c r="AR141" s="23" t="n">
        <f aca="false">'Qté 2027'!AR141*$C141</f>
        <v>0</v>
      </c>
      <c r="AS141" s="23" t="n">
        <f aca="false">'Qté 2027'!AS141*$C141</f>
        <v>0</v>
      </c>
      <c r="AT141" s="23" t="n">
        <f aca="false">'Qté 2027'!AT141*$C141</f>
        <v>0</v>
      </c>
      <c r="AU141" s="23" t="n">
        <f aca="false">'Qté 2027'!AU141*$C141</f>
        <v>0</v>
      </c>
      <c r="AV141" s="23" t="n">
        <f aca="false">'Qté 2027'!AV141*$C141</f>
        <v>0</v>
      </c>
      <c r="AW141" s="23" t="n">
        <f aca="false">'Qté 2027'!AW141*$C141</f>
        <v>0</v>
      </c>
      <c r="AX141" s="23" t="n">
        <f aca="false">'Qté 2027'!AX141*$C141</f>
        <v>0</v>
      </c>
      <c r="AY141" s="23" t="n">
        <f aca="false">'Qté 2027'!AY141*$C141</f>
        <v>0</v>
      </c>
      <c r="AZ141" s="23" t="n">
        <f aca="false">'Qté 2027'!AZ141*$C141</f>
        <v>0</v>
      </c>
      <c r="BA141" s="23" t="n">
        <f aca="false">'Qté 2027'!BA141*$C141</f>
        <v>0</v>
      </c>
      <c r="BB141" s="23" t="n">
        <f aca="false">'Qté 2027'!BB141*$C141</f>
        <v>0</v>
      </c>
      <c r="BC141" s="23" t="n">
        <f aca="false">'Qté 2027'!BC141*$C141</f>
        <v>0</v>
      </c>
      <c r="BD141" s="15" t="n">
        <f aca="false">SUM(D141:BC141)</f>
        <v>13.9392</v>
      </c>
    </row>
    <row r="142" customFormat="false" ht="15" hidden="false" customHeight="false" outlineLevel="0" collapsed="false">
      <c r="A142" s="5" t="s">
        <v>318</v>
      </c>
      <c r="B142" s="5" t="s">
        <v>63</v>
      </c>
      <c r="C142" s="22" t="n">
        <v>37</v>
      </c>
      <c r="D142" s="23" t="n">
        <f aca="false">'Qté 2027'!D142*$C142</f>
        <v>0</v>
      </c>
      <c r="E142" s="23" t="n">
        <f aca="false">'Qté 2027'!E142*$C142</f>
        <v>0</v>
      </c>
      <c r="F142" s="23" t="n">
        <f aca="false">'Qté 2027'!F142*$C142</f>
        <v>0</v>
      </c>
      <c r="G142" s="23" t="n">
        <f aca="false">'Qté 2027'!G142*$C142</f>
        <v>0</v>
      </c>
      <c r="H142" s="23" t="n">
        <f aca="false">'Qté 2027'!H142*$C142</f>
        <v>0</v>
      </c>
      <c r="I142" s="23" t="n">
        <f aca="false">'Qté 2027'!I142*$C142</f>
        <v>0</v>
      </c>
      <c r="J142" s="23" t="n">
        <f aca="false">'Qté 2027'!J142*$C142</f>
        <v>0</v>
      </c>
      <c r="K142" s="23" t="n">
        <f aca="false">'Qté 2027'!K142*$C142</f>
        <v>0</v>
      </c>
      <c r="L142" s="23" t="n">
        <f aca="false">'Qté 2027'!L142*$C142</f>
        <v>0</v>
      </c>
      <c r="M142" s="23" t="n">
        <f aca="false">'Qté 2027'!M142*$C142</f>
        <v>0</v>
      </c>
      <c r="N142" s="23" t="n">
        <f aca="false">'Qté 2027'!N142*$C142</f>
        <v>0</v>
      </c>
      <c r="O142" s="23" t="n">
        <f aca="false">'Qté 2027'!O142*$C142</f>
        <v>0</v>
      </c>
      <c r="P142" s="23" t="n">
        <f aca="false">'Qté 2027'!P142*$C142</f>
        <v>0</v>
      </c>
      <c r="Q142" s="23" t="n">
        <f aca="false">'Qté 2027'!Q142*$C142</f>
        <v>0</v>
      </c>
      <c r="R142" s="23" t="n">
        <f aca="false">'Qté 2027'!R142*$C142</f>
        <v>0</v>
      </c>
      <c r="S142" s="23" t="n">
        <f aca="false">'Qté 2027'!S142*$C142</f>
        <v>0</v>
      </c>
      <c r="T142" s="23" t="n">
        <f aca="false">'Qté 2027'!T142*$C142</f>
        <v>0</v>
      </c>
      <c r="U142" s="23" t="n">
        <f aca="false">'Qté 2027'!U142*$C142</f>
        <v>0</v>
      </c>
      <c r="V142" s="23" t="n">
        <f aca="false">'Qté 2027'!V142*$C142</f>
        <v>0</v>
      </c>
      <c r="W142" s="23" t="n">
        <f aca="false">'Qté 2027'!W142*$C142</f>
        <v>2.96</v>
      </c>
      <c r="X142" s="23" t="n">
        <f aca="false">'Qté 2027'!X142*$C142</f>
        <v>5.92</v>
      </c>
      <c r="Y142" s="23" t="n">
        <f aca="false">'Qté 2027'!Y142*$C142</f>
        <v>2.96</v>
      </c>
      <c r="Z142" s="23" t="n">
        <f aca="false">'Qté 2027'!Z142*$C142</f>
        <v>0</v>
      </c>
      <c r="AA142" s="23" t="n">
        <f aca="false">'Qté 2027'!AA142*$C142</f>
        <v>0</v>
      </c>
      <c r="AB142" s="23" t="n">
        <f aca="false">'Qté 2027'!AB142*$C142</f>
        <v>0</v>
      </c>
      <c r="AC142" s="23" t="n">
        <f aca="false">'Qté 2027'!AC142*$C142</f>
        <v>0</v>
      </c>
      <c r="AD142" s="23" t="n">
        <f aca="false">'Qté 2027'!AD142*$C142</f>
        <v>0</v>
      </c>
      <c r="AE142" s="23" t="n">
        <f aca="false">'Qté 2027'!AE142*$C142</f>
        <v>0</v>
      </c>
      <c r="AF142" s="23" t="n">
        <f aca="false">'Qté 2027'!AF142*$C142</f>
        <v>0</v>
      </c>
      <c r="AG142" s="23" t="n">
        <f aca="false">'Qté 2027'!AG142*$C142</f>
        <v>0</v>
      </c>
      <c r="AH142" s="23" t="n">
        <f aca="false">'Qté 2027'!AH142*$C142</f>
        <v>0</v>
      </c>
      <c r="AI142" s="23" t="n">
        <f aca="false">'Qté 2027'!AI142*$C142</f>
        <v>0</v>
      </c>
      <c r="AJ142" s="23" t="n">
        <f aca="false">'Qté 2027'!AJ142*$C142</f>
        <v>0</v>
      </c>
      <c r="AK142" s="23" t="n">
        <f aca="false">'Qté 2027'!AK142*$C142</f>
        <v>0</v>
      </c>
      <c r="AL142" s="23" t="n">
        <f aca="false">'Qté 2027'!AL142*$C142</f>
        <v>0</v>
      </c>
      <c r="AM142" s="23" t="n">
        <f aca="false">'Qté 2027'!AM142*$C142</f>
        <v>0</v>
      </c>
      <c r="AN142" s="23" t="n">
        <f aca="false">'Qté 2027'!AN142*$C142</f>
        <v>0</v>
      </c>
      <c r="AO142" s="23" t="n">
        <f aca="false">'Qté 2027'!AO142*$C142</f>
        <v>0</v>
      </c>
      <c r="AP142" s="23" t="n">
        <f aca="false">'Qté 2027'!AP142*$C142</f>
        <v>0</v>
      </c>
      <c r="AQ142" s="23" t="n">
        <f aca="false">'Qté 2027'!AQ142*$C142</f>
        <v>0</v>
      </c>
      <c r="AR142" s="23" t="n">
        <f aca="false">'Qté 2027'!AR142*$C142</f>
        <v>0</v>
      </c>
      <c r="AS142" s="23" t="n">
        <f aca="false">'Qté 2027'!AS142*$C142</f>
        <v>0</v>
      </c>
      <c r="AT142" s="23" t="n">
        <f aca="false">'Qté 2027'!AT142*$C142</f>
        <v>0</v>
      </c>
      <c r="AU142" s="23" t="n">
        <f aca="false">'Qté 2027'!AU142*$C142</f>
        <v>0</v>
      </c>
      <c r="AV142" s="23" t="n">
        <f aca="false">'Qté 2027'!AV142*$C142</f>
        <v>0</v>
      </c>
      <c r="AW142" s="23" t="n">
        <f aca="false">'Qté 2027'!AW142*$C142</f>
        <v>0</v>
      </c>
      <c r="AX142" s="23" t="n">
        <f aca="false">'Qté 2027'!AX142*$C142</f>
        <v>0</v>
      </c>
      <c r="AY142" s="23" t="n">
        <f aca="false">'Qté 2027'!AY142*$C142</f>
        <v>0</v>
      </c>
      <c r="AZ142" s="23" t="n">
        <f aca="false">'Qté 2027'!AZ142*$C142</f>
        <v>0</v>
      </c>
      <c r="BA142" s="23" t="n">
        <f aca="false">'Qté 2027'!BA142*$C142</f>
        <v>0</v>
      </c>
      <c r="BB142" s="23" t="n">
        <f aca="false">'Qté 2027'!BB142*$C142</f>
        <v>0</v>
      </c>
      <c r="BC142" s="23" t="n">
        <f aca="false">'Qté 2027'!BC142*$C142</f>
        <v>0</v>
      </c>
      <c r="BD142" s="15" t="n">
        <f aca="false">SUM(D142:BC142)</f>
        <v>11.84</v>
      </c>
    </row>
    <row r="143" customFormat="false" ht="15" hidden="false" customHeight="false" outlineLevel="0" collapsed="false">
      <c r="A143" s="5" t="s">
        <v>319</v>
      </c>
      <c r="B143" s="5" t="s">
        <v>63</v>
      </c>
      <c r="C143" s="22" t="n">
        <v>2</v>
      </c>
      <c r="D143" s="23" t="n">
        <f aca="false">'Qté 2027'!D143*$C143</f>
        <v>0</v>
      </c>
      <c r="E143" s="23" t="n">
        <f aca="false">'Qté 2027'!E143*$C143</f>
        <v>0</v>
      </c>
      <c r="F143" s="23" t="n">
        <f aca="false">'Qté 2027'!F143*$C143</f>
        <v>0</v>
      </c>
      <c r="G143" s="23" t="n">
        <f aca="false">'Qté 2027'!G143*$C143</f>
        <v>0</v>
      </c>
      <c r="H143" s="23" t="n">
        <f aca="false">'Qté 2027'!H143*$C143</f>
        <v>0</v>
      </c>
      <c r="I143" s="23" t="n">
        <f aca="false">'Qté 2027'!I143*$C143</f>
        <v>0</v>
      </c>
      <c r="J143" s="23" t="n">
        <f aca="false">'Qté 2027'!J143*$C143</f>
        <v>0</v>
      </c>
      <c r="K143" s="23" t="n">
        <f aca="false">'Qté 2027'!K143*$C143</f>
        <v>0</v>
      </c>
      <c r="L143" s="23" t="n">
        <f aca="false">'Qté 2027'!L143*$C143</f>
        <v>0.14</v>
      </c>
      <c r="M143" s="23" t="n">
        <f aca="false">'Qté 2027'!M143*$C143</f>
        <v>0.28</v>
      </c>
      <c r="N143" s="23" t="n">
        <f aca="false">'Qté 2027'!N143*$C143</f>
        <v>0.14</v>
      </c>
      <c r="O143" s="23" t="n">
        <f aca="false">'Qté 2027'!O143*$C143</f>
        <v>0</v>
      </c>
      <c r="P143" s="23" t="n">
        <f aca="false">'Qté 2027'!P143*$C143</f>
        <v>0</v>
      </c>
      <c r="Q143" s="23" t="n">
        <f aca="false">'Qté 2027'!Q143*$C143</f>
        <v>0</v>
      </c>
      <c r="R143" s="23" t="n">
        <f aca="false">'Qté 2027'!R143*$C143</f>
        <v>0.56</v>
      </c>
      <c r="S143" s="23" t="n">
        <f aca="false">'Qté 2027'!S143*$C143</f>
        <v>1.18</v>
      </c>
      <c r="T143" s="23" t="n">
        <f aca="false">'Qté 2027'!T143*$C143</f>
        <v>0.66</v>
      </c>
      <c r="U143" s="23" t="n">
        <f aca="false">'Qté 2027'!U143*$C143</f>
        <v>0.32</v>
      </c>
      <c r="V143" s="23" t="n">
        <f aca="false">'Qté 2027'!V143*$C143</f>
        <v>0.58</v>
      </c>
      <c r="W143" s="23" t="n">
        <f aca="false">'Qté 2027'!W143*$C143</f>
        <v>0.48</v>
      </c>
      <c r="X143" s="23" t="n">
        <f aca="false">'Qté 2027'!X143*$C143</f>
        <v>0.64</v>
      </c>
      <c r="Y143" s="23" t="n">
        <f aca="false">'Qté 2027'!Y143*$C143</f>
        <v>1.2</v>
      </c>
      <c r="Z143" s="23" t="n">
        <f aca="false">'Qté 2027'!Z143*$C143</f>
        <v>1.08</v>
      </c>
      <c r="AA143" s="23" t="n">
        <f aca="false">'Qté 2027'!AA143*$C143</f>
        <v>0.68</v>
      </c>
      <c r="AB143" s="23" t="n">
        <f aca="false">'Qté 2027'!AB143*$C143</f>
        <v>0.64</v>
      </c>
      <c r="AC143" s="23" t="n">
        <f aca="false">'Qté 2027'!AC143*$C143</f>
        <v>0.48</v>
      </c>
      <c r="AD143" s="23" t="n">
        <f aca="false">'Qté 2027'!AD143*$C143</f>
        <v>0.38</v>
      </c>
      <c r="AE143" s="23" t="n">
        <f aca="false">'Qté 2027'!AE143*$C143</f>
        <v>0.3</v>
      </c>
      <c r="AF143" s="23" t="n">
        <f aca="false">'Qté 2027'!AF143*$C143</f>
        <v>0.06</v>
      </c>
      <c r="AG143" s="23" t="n">
        <f aca="false">'Qté 2027'!AG143*$C143</f>
        <v>0</v>
      </c>
      <c r="AH143" s="23" t="n">
        <f aca="false">'Qté 2027'!AH143*$C143</f>
        <v>0</v>
      </c>
      <c r="AI143" s="23" t="n">
        <f aca="false">'Qté 2027'!AI143*$C143</f>
        <v>0.16</v>
      </c>
      <c r="AJ143" s="23" t="n">
        <f aca="false">'Qté 2027'!AJ143*$C143</f>
        <v>0.34</v>
      </c>
      <c r="AK143" s="23" t="n">
        <f aca="false">'Qté 2027'!AK143*$C143</f>
        <v>0.16</v>
      </c>
      <c r="AL143" s="23" t="n">
        <f aca="false">'Qté 2027'!AL143*$C143</f>
        <v>0</v>
      </c>
      <c r="AM143" s="23" t="n">
        <f aca="false">'Qté 2027'!AM143*$C143</f>
        <v>0</v>
      </c>
      <c r="AN143" s="23" t="n">
        <f aca="false">'Qté 2027'!AN143*$C143</f>
        <v>0.1</v>
      </c>
      <c r="AO143" s="23" t="n">
        <f aca="false">'Qté 2027'!AO143*$C143</f>
        <v>0.2</v>
      </c>
      <c r="AP143" s="23" t="n">
        <f aca="false">'Qté 2027'!AP143*$C143</f>
        <v>0.1</v>
      </c>
      <c r="AQ143" s="23" t="n">
        <f aca="false">'Qté 2027'!AQ143*$C143</f>
        <v>0</v>
      </c>
      <c r="AR143" s="23" t="n">
        <f aca="false">'Qté 2027'!AR143*$C143</f>
        <v>0</v>
      </c>
      <c r="AS143" s="23" t="n">
        <f aca="false">'Qté 2027'!AS143*$C143</f>
        <v>0.2</v>
      </c>
      <c r="AT143" s="23" t="n">
        <f aca="false">'Qté 2027'!AT143*$C143</f>
        <v>0.4</v>
      </c>
      <c r="AU143" s="23" t="n">
        <f aca="false">'Qté 2027'!AU143*$C143</f>
        <v>0.2</v>
      </c>
      <c r="AV143" s="23" t="n">
        <f aca="false">'Qté 2027'!AV143*$C143</f>
        <v>0</v>
      </c>
      <c r="AW143" s="23" t="n">
        <f aca="false">'Qté 2027'!AW143*$C143</f>
        <v>0</v>
      </c>
      <c r="AX143" s="23" t="n">
        <f aca="false">'Qté 2027'!AX143*$C143</f>
        <v>0</v>
      </c>
      <c r="AY143" s="23" t="n">
        <f aca="false">'Qté 2027'!AY143*$C143</f>
        <v>0</v>
      </c>
      <c r="AZ143" s="23" t="n">
        <f aca="false">'Qté 2027'!AZ143*$C143</f>
        <v>0</v>
      </c>
      <c r="BA143" s="23" t="n">
        <f aca="false">'Qté 2027'!BA143*$C143</f>
        <v>0</v>
      </c>
      <c r="BB143" s="23" t="n">
        <f aca="false">'Qté 2027'!BB143*$C143</f>
        <v>0</v>
      </c>
      <c r="BC143" s="23" t="n">
        <f aca="false">'Qté 2027'!BC143*$C143</f>
        <v>0</v>
      </c>
      <c r="BD143" s="15" t="n">
        <f aca="false">SUM(D143:BC143)</f>
        <v>11.66</v>
      </c>
    </row>
    <row r="144" customFormat="false" ht="15" hidden="false" customHeight="false" outlineLevel="0" collapsed="false">
      <c r="A144" s="5" t="s">
        <v>320</v>
      </c>
      <c r="B144" s="5" t="s">
        <v>45</v>
      </c>
      <c r="C144" s="22" t="n">
        <v>3.96</v>
      </c>
      <c r="D144" s="23" t="n">
        <f aca="false">'Qté 2027'!D144*$C144</f>
        <v>0</v>
      </c>
      <c r="E144" s="23" t="n">
        <f aca="false">'Qté 2027'!E144*$C144</f>
        <v>0</v>
      </c>
      <c r="F144" s="23" t="n">
        <f aca="false">'Qté 2027'!F144*$C144</f>
        <v>0</v>
      </c>
      <c r="G144" s="23" t="n">
        <f aca="false">'Qté 2027'!G144*$C144</f>
        <v>0</v>
      </c>
      <c r="H144" s="23" t="n">
        <f aca="false">'Qté 2027'!H144*$C144</f>
        <v>0</v>
      </c>
      <c r="I144" s="23" t="n">
        <f aca="false">'Qté 2027'!I144*$C144</f>
        <v>0</v>
      </c>
      <c r="J144" s="23" t="n">
        <f aca="false">'Qté 2027'!J144*$C144</f>
        <v>0</v>
      </c>
      <c r="K144" s="23" t="n">
        <f aca="false">'Qté 2027'!K144*$C144</f>
        <v>0</v>
      </c>
      <c r="L144" s="23" t="n">
        <f aca="false">'Qté 2027'!L144*$C144</f>
        <v>0</v>
      </c>
      <c r="M144" s="23" t="n">
        <f aca="false">'Qté 2027'!M144*$C144</f>
        <v>0</v>
      </c>
      <c r="N144" s="23" t="n">
        <f aca="false">'Qté 2027'!N144*$C144</f>
        <v>0</v>
      </c>
      <c r="O144" s="23" t="n">
        <f aca="false">'Qté 2027'!O144*$C144</f>
        <v>0</v>
      </c>
      <c r="P144" s="23" t="n">
        <f aca="false">'Qté 2027'!P144*$C144</f>
        <v>0</v>
      </c>
      <c r="Q144" s="23" t="n">
        <f aca="false">'Qté 2027'!Q144*$C144</f>
        <v>0</v>
      </c>
      <c r="R144" s="23" t="n">
        <f aca="false">'Qté 2027'!R144*$C144</f>
        <v>0</v>
      </c>
      <c r="S144" s="23" t="n">
        <f aca="false">'Qté 2027'!S144*$C144</f>
        <v>0</v>
      </c>
      <c r="T144" s="23" t="n">
        <f aca="false">'Qté 2027'!T144*$C144</f>
        <v>0</v>
      </c>
      <c r="U144" s="23" t="n">
        <f aca="false">'Qté 2027'!U144*$C144</f>
        <v>0.3564</v>
      </c>
      <c r="V144" s="23" t="n">
        <f aca="false">'Qté 2027'!V144*$C144</f>
        <v>1.0692</v>
      </c>
      <c r="W144" s="23" t="n">
        <f aca="false">'Qté 2027'!W144*$C144</f>
        <v>1.0692</v>
      </c>
      <c r="X144" s="23" t="n">
        <f aca="false">'Qté 2027'!X144*$C144</f>
        <v>1.4256</v>
      </c>
      <c r="Y144" s="23" t="n">
        <f aca="false">'Qté 2027'!Y144*$C144</f>
        <v>2.1384</v>
      </c>
      <c r="Z144" s="23" t="n">
        <f aca="false">'Qté 2027'!Z144*$C144</f>
        <v>1.0692</v>
      </c>
      <c r="AA144" s="23" t="n">
        <f aca="false">'Qté 2027'!AA144*$C144</f>
        <v>0.7128</v>
      </c>
      <c r="AB144" s="23" t="n">
        <f aca="false">'Qté 2027'!AB144*$C144</f>
        <v>1.4256</v>
      </c>
      <c r="AC144" s="23" t="n">
        <f aca="false">'Qté 2027'!AC144*$C144</f>
        <v>0.7128</v>
      </c>
      <c r="AD144" s="23" t="n">
        <f aca="false">'Qté 2027'!AD144*$C144</f>
        <v>0.3564</v>
      </c>
      <c r="AE144" s="23" t="n">
        <f aca="false">'Qté 2027'!AE144*$C144</f>
        <v>0.7128</v>
      </c>
      <c r="AF144" s="23" t="n">
        <f aca="false">'Qté 2027'!AF144*$C144</f>
        <v>0.3564</v>
      </c>
      <c r="AG144" s="23" t="n">
        <f aca="false">'Qté 2027'!AG144*$C144</f>
        <v>0</v>
      </c>
      <c r="AH144" s="23" t="n">
        <f aca="false">'Qté 2027'!AH144*$C144</f>
        <v>0</v>
      </c>
      <c r="AI144" s="23" t="n">
        <f aca="false">'Qté 2027'!AI144*$C144</f>
        <v>0</v>
      </c>
      <c r="AJ144" s="23" t="n">
        <f aca="false">'Qté 2027'!AJ144*$C144</f>
        <v>0</v>
      </c>
      <c r="AK144" s="23" t="n">
        <f aca="false">'Qté 2027'!AK144*$C144</f>
        <v>0</v>
      </c>
      <c r="AL144" s="23" t="n">
        <f aca="false">'Qté 2027'!AL144*$C144</f>
        <v>0</v>
      </c>
      <c r="AM144" s="23" t="n">
        <f aca="false">'Qté 2027'!AM144*$C144</f>
        <v>0</v>
      </c>
      <c r="AN144" s="23" t="n">
        <f aca="false">'Qté 2027'!AN144*$C144</f>
        <v>0</v>
      </c>
      <c r="AO144" s="23" t="n">
        <f aca="false">'Qté 2027'!AO144*$C144</f>
        <v>0</v>
      </c>
      <c r="AP144" s="23" t="n">
        <f aca="false">'Qté 2027'!AP144*$C144</f>
        <v>0</v>
      </c>
      <c r="AQ144" s="23" t="n">
        <f aca="false">'Qté 2027'!AQ144*$C144</f>
        <v>0</v>
      </c>
      <c r="AR144" s="23" t="n">
        <f aca="false">'Qté 2027'!AR144*$C144</f>
        <v>0</v>
      </c>
      <c r="AS144" s="23" t="n">
        <f aca="false">'Qté 2027'!AS144*$C144</f>
        <v>0</v>
      </c>
      <c r="AT144" s="23" t="n">
        <f aca="false">'Qté 2027'!AT144*$C144</f>
        <v>0</v>
      </c>
      <c r="AU144" s="23" t="n">
        <f aca="false">'Qté 2027'!AU144*$C144</f>
        <v>0</v>
      </c>
      <c r="AV144" s="23" t="n">
        <f aca="false">'Qté 2027'!AV144*$C144</f>
        <v>0</v>
      </c>
      <c r="AW144" s="23" t="n">
        <f aca="false">'Qté 2027'!AW144*$C144</f>
        <v>0</v>
      </c>
      <c r="AX144" s="23" t="n">
        <f aca="false">'Qté 2027'!AX144*$C144</f>
        <v>0</v>
      </c>
      <c r="AY144" s="23" t="n">
        <f aca="false">'Qté 2027'!AY144*$C144</f>
        <v>0</v>
      </c>
      <c r="AZ144" s="23" t="n">
        <f aca="false">'Qté 2027'!AZ144*$C144</f>
        <v>0</v>
      </c>
      <c r="BA144" s="23" t="n">
        <f aca="false">'Qté 2027'!BA144*$C144</f>
        <v>0</v>
      </c>
      <c r="BB144" s="23" t="n">
        <f aca="false">'Qté 2027'!BB144*$C144</f>
        <v>0</v>
      </c>
      <c r="BC144" s="23" t="n">
        <f aca="false">'Qté 2027'!BC144*$C144</f>
        <v>0</v>
      </c>
      <c r="BD144" s="15" t="n">
        <f aca="false">SUM(D144:BC144)</f>
        <v>11.4048</v>
      </c>
    </row>
    <row r="145" customFormat="false" ht="15" hidden="false" customHeight="false" outlineLevel="0" collapsed="false">
      <c r="A145" s="5" t="s">
        <v>321</v>
      </c>
      <c r="B145" s="5" t="s">
        <v>63</v>
      </c>
      <c r="C145" s="22" t="n">
        <v>30</v>
      </c>
      <c r="D145" s="23" t="n">
        <f aca="false">'Qté 2027'!D145*$C145</f>
        <v>0</v>
      </c>
      <c r="E145" s="23" t="n">
        <f aca="false">'Qté 2027'!E145*$C145</f>
        <v>0</v>
      </c>
      <c r="F145" s="23" t="n">
        <f aca="false">'Qté 2027'!F145*$C145</f>
        <v>0</v>
      </c>
      <c r="G145" s="23" t="n">
        <f aca="false">'Qté 2027'!G145*$C145</f>
        <v>0</v>
      </c>
      <c r="H145" s="23" t="n">
        <f aca="false">'Qté 2027'!H145*$C145</f>
        <v>0</v>
      </c>
      <c r="I145" s="23" t="n">
        <f aca="false">'Qté 2027'!I145*$C145</f>
        <v>0</v>
      </c>
      <c r="J145" s="23" t="n">
        <f aca="false">'Qté 2027'!J145*$C145</f>
        <v>0</v>
      </c>
      <c r="K145" s="23" t="n">
        <f aca="false">'Qté 2027'!K145*$C145</f>
        <v>0</v>
      </c>
      <c r="L145" s="23" t="n">
        <f aca="false">'Qté 2027'!L145*$C145</f>
        <v>0</v>
      </c>
      <c r="M145" s="23" t="n">
        <f aca="false">'Qté 2027'!M145*$C145</f>
        <v>0</v>
      </c>
      <c r="N145" s="23" t="n">
        <f aca="false">'Qté 2027'!N145*$C145</f>
        <v>0</v>
      </c>
      <c r="O145" s="23" t="n">
        <f aca="false">'Qté 2027'!O145*$C145</f>
        <v>0</v>
      </c>
      <c r="P145" s="23" t="n">
        <f aca="false">'Qté 2027'!P145*$C145</f>
        <v>0</v>
      </c>
      <c r="Q145" s="23" t="n">
        <f aca="false">'Qté 2027'!Q145*$C145</f>
        <v>0</v>
      </c>
      <c r="R145" s="23" t="n">
        <f aca="false">'Qté 2027'!R145*$C145</f>
        <v>0</v>
      </c>
      <c r="S145" s="23" t="n">
        <f aca="false">'Qté 2027'!S145*$C145</f>
        <v>0</v>
      </c>
      <c r="T145" s="23" t="n">
        <f aca="false">'Qté 2027'!T145*$C145</f>
        <v>0</v>
      </c>
      <c r="U145" s="23" t="n">
        <f aca="false">'Qté 2027'!U145*$C145</f>
        <v>2.7</v>
      </c>
      <c r="V145" s="23" t="n">
        <f aca="false">'Qté 2027'!V145*$C145</f>
        <v>5.4</v>
      </c>
      <c r="W145" s="23" t="n">
        <f aca="false">'Qté 2027'!W145*$C145</f>
        <v>2.7</v>
      </c>
      <c r="X145" s="23" t="n">
        <f aca="false">'Qté 2027'!X145*$C145</f>
        <v>0</v>
      </c>
      <c r="Y145" s="23" t="n">
        <f aca="false">'Qté 2027'!Y145*$C145</f>
        <v>0</v>
      </c>
      <c r="Z145" s="23" t="n">
        <f aca="false">'Qté 2027'!Z145*$C145</f>
        <v>0</v>
      </c>
      <c r="AA145" s="23" t="n">
        <f aca="false">'Qté 2027'!AA145*$C145</f>
        <v>0</v>
      </c>
      <c r="AB145" s="23" t="n">
        <f aca="false">'Qté 2027'!AB145*$C145</f>
        <v>0</v>
      </c>
      <c r="AC145" s="23" t="n">
        <f aca="false">'Qté 2027'!AC145*$C145</f>
        <v>0</v>
      </c>
      <c r="AD145" s="23" t="n">
        <f aca="false">'Qté 2027'!AD145*$C145</f>
        <v>0</v>
      </c>
      <c r="AE145" s="23" t="n">
        <f aca="false">'Qté 2027'!AE145*$C145</f>
        <v>0</v>
      </c>
      <c r="AF145" s="23" t="n">
        <f aca="false">'Qté 2027'!AF145*$C145</f>
        <v>0</v>
      </c>
      <c r="AG145" s="23" t="n">
        <f aca="false">'Qté 2027'!AG145*$C145</f>
        <v>0</v>
      </c>
      <c r="AH145" s="23" t="n">
        <f aca="false">'Qté 2027'!AH145*$C145</f>
        <v>0</v>
      </c>
      <c r="AI145" s="23" t="n">
        <f aca="false">'Qté 2027'!AI145*$C145</f>
        <v>0</v>
      </c>
      <c r="AJ145" s="23" t="n">
        <f aca="false">'Qté 2027'!AJ145*$C145</f>
        <v>0</v>
      </c>
      <c r="AK145" s="23" t="n">
        <f aca="false">'Qté 2027'!AK145*$C145</f>
        <v>0</v>
      </c>
      <c r="AL145" s="23" t="n">
        <f aca="false">'Qté 2027'!AL145*$C145</f>
        <v>0</v>
      </c>
      <c r="AM145" s="23" t="n">
        <f aca="false">'Qté 2027'!AM145*$C145</f>
        <v>0</v>
      </c>
      <c r="AN145" s="23" t="n">
        <f aca="false">'Qté 2027'!AN145*$C145</f>
        <v>0</v>
      </c>
      <c r="AO145" s="23" t="n">
        <f aca="false">'Qté 2027'!AO145*$C145</f>
        <v>0</v>
      </c>
      <c r="AP145" s="23" t="n">
        <f aca="false">'Qté 2027'!AP145*$C145</f>
        <v>0</v>
      </c>
      <c r="AQ145" s="23" t="n">
        <f aca="false">'Qté 2027'!AQ145*$C145</f>
        <v>0</v>
      </c>
      <c r="AR145" s="23" t="n">
        <f aca="false">'Qté 2027'!AR145*$C145</f>
        <v>0</v>
      </c>
      <c r="AS145" s="23" t="n">
        <f aca="false">'Qté 2027'!AS145*$C145</f>
        <v>0</v>
      </c>
      <c r="AT145" s="23" t="n">
        <f aca="false">'Qté 2027'!AT145*$C145</f>
        <v>0</v>
      </c>
      <c r="AU145" s="23" t="n">
        <f aca="false">'Qté 2027'!AU145*$C145</f>
        <v>0</v>
      </c>
      <c r="AV145" s="23" t="n">
        <f aca="false">'Qté 2027'!AV145*$C145</f>
        <v>0</v>
      </c>
      <c r="AW145" s="23" t="n">
        <f aca="false">'Qté 2027'!AW145*$C145</f>
        <v>0</v>
      </c>
      <c r="AX145" s="23" t="n">
        <f aca="false">'Qté 2027'!AX145*$C145</f>
        <v>0</v>
      </c>
      <c r="AY145" s="23" t="n">
        <f aca="false">'Qté 2027'!AY145*$C145</f>
        <v>0</v>
      </c>
      <c r="AZ145" s="23" t="n">
        <f aca="false">'Qté 2027'!AZ145*$C145</f>
        <v>0</v>
      </c>
      <c r="BA145" s="23" t="n">
        <f aca="false">'Qté 2027'!BA145*$C145</f>
        <v>0</v>
      </c>
      <c r="BB145" s="23" t="n">
        <f aca="false">'Qté 2027'!BB145*$C145</f>
        <v>0</v>
      </c>
      <c r="BC145" s="23" t="n">
        <f aca="false">'Qté 2027'!BC145*$C145</f>
        <v>0</v>
      </c>
      <c r="BD145" s="15" t="n">
        <f aca="false">SUM(D145:BC145)</f>
        <v>10.8</v>
      </c>
    </row>
    <row r="146" customFormat="false" ht="15" hidden="false" customHeight="false" outlineLevel="0" collapsed="false">
      <c r="A146" s="5" t="s">
        <v>322</v>
      </c>
      <c r="B146" s="5" t="s">
        <v>63</v>
      </c>
      <c r="C146" s="22" t="n">
        <v>32.42</v>
      </c>
      <c r="D146" s="23" t="n">
        <f aca="false">'Qté 2027'!D146*$C146</f>
        <v>0</v>
      </c>
      <c r="E146" s="23" t="n">
        <f aca="false">'Qté 2027'!E146*$C146</f>
        <v>0</v>
      </c>
      <c r="F146" s="23" t="n">
        <f aca="false">'Qté 2027'!F146*$C146</f>
        <v>0</v>
      </c>
      <c r="G146" s="23" t="n">
        <f aca="false">'Qté 2027'!G146*$C146</f>
        <v>0</v>
      </c>
      <c r="H146" s="23" t="n">
        <f aca="false">'Qté 2027'!H146*$C146</f>
        <v>0</v>
      </c>
      <c r="I146" s="23" t="n">
        <f aca="false">'Qté 2027'!I146*$C146</f>
        <v>0</v>
      </c>
      <c r="J146" s="23" t="n">
        <f aca="false">'Qté 2027'!J146*$C146</f>
        <v>0</v>
      </c>
      <c r="K146" s="23" t="n">
        <f aca="false">'Qté 2027'!K146*$C146</f>
        <v>0</v>
      </c>
      <c r="L146" s="23" t="n">
        <f aca="false">'Qté 2027'!L146*$C146</f>
        <v>0</v>
      </c>
      <c r="M146" s="23" t="n">
        <f aca="false">'Qté 2027'!M146*$C146</f>
        <v>0</v>
      </c>
      <c r="N146" s="23" t="n">
        <f aca="false">'Qté 2027'!N146*$C146</f>
        <v>0</v>
      </c>
      <c r="O146" s="23" t="n">
        <f aca="false">'Qté 2027'!O146*$C146</f>
        <v>0</v>
      </c>
      <c r="P146" s="23" t="n">
        <f aca="false">'Qté 2027'!P146*$C146</f>
        <v>0</v>
      </c>
      <c r="Q146" s="23" t="n">
        <f aca="false">'Qté 2027'!Q146*$C146</f>
        <v>0</v>
      </c>
      <c r="R146" s="23" t="n">
        <f aca="false">'Qté 2027'!R146*$C146</f>
        <v>0</v>
      </c>
      <c r="S146" s="23" t="n">
        <f aca="false">'Qté 2027'!S146*$C146</f>
        <v>0</v>
      </c>
      <c r="T146" s="23" t="n">
        <f aca="false">'Qté 2027'!T146*$C146</f>
        <v>0</v>
      </c>
      <c r="U146" s="23" t="n">
        <f aca="false">'Qté 2027'!U146*$C146</f>
        <v>0</v>
      </c>
      <c r="V146" s="23" t="n">
        <f aca="false">'Qté 2027'!V146*$C146</f>
        <v>0</v>
      </c>
      <c r="W146" s="23" t="n">
        <f aca="false">'Qté 2027'!W146*$C146</f>
        <v>0</v>
      </c>
      <c r="X146" s="23" t="n">
        <f aca="false">'Qté 2027'!X146*$C146</f>
        <v>0</v>
      </c>
      <c r="Y146" s="23" t="n">
        <f aca="false">'Qté 2027'!Y146*$C146</f>
        <v>0</v>
      </c>
      <c r="Z146" s="23" t="n">
        <f aca="false">'Qté 2027'!Z146*$C146</f>
        <v>0</v>
      </c>
      <c r="AA146" s="23" t="n">
        <f aca="false">'Qté 2027'!AA146*$C146</f>
        <v>0</v>
      </c>
      <c r="AB146" s="23" t="n">
        <f aca="false">'Qté 2027'!AB146*$C146</f>
        <v>0</v>
      </c>
      <c r="AC146" s="23" t="n">
        <f aca="false">'Qté 2027'!AC146*$C146</f>
        <v>0</v>
      </c>
      <c r="AD146" s="23" t="n">
        <f aca="false">'Qté 2027'!AD146*$C146</f>
        <v>0</v>
      </c>
      <c r="AE146" s="23" t="n">
        <f aca="false">'Qté 2027'!AE146*$C146</f>
        <v>0</v>
      </c>
      <c r="AF146" s="23" t="n">
        <f aca="false">'Qté 2027'!AF146*$C146</f>
        <v>0</v>
      </c>
      <c r="AG146" s="23" t="n">
        <f aca="false">'Qté 2027'!AG146*$C146</f>
        <v>0</v>
      </c>
      <c r="AH146" s="23" t="n">
        <f aca="false">'Qté 2027'!AH146*$C146</f>
        <v>0</v>
      </c>
      <c r="AI146" s="23" t="n">
        <f aca="false">'Qté 2027'!AI146*$C146</f>
        <v>0</v>
      </c>
      <c r="AJ146" s="23" t="n">
        <f aca="false">'Qté 2027'!AJ146*$C146</f>
        <v>0</v>
      </c>
      <c r="AK146" s="23" t="n">
        <f aca="false">'Qté 2027'!AK146*$C146</f>
        <v>2.5936</v>
      </c>
      <c r="AL146" s="23" t="n">
        <f aca="false">'Qté 2027'!AL146*$C146</f>
        <v>5.5114</v>
      </c>
      <c r="AM146" s="23" t="n">
        <f aca="false">'Qté 2027'!AM146*$C146</f>
        <v>2.5936</v>
      </c>
      <c r="AN146" s="23" t="n">
        <f aca="false">'Qté 2027'!AN146*$C146</f>
        <v>0</v>
      </c>
      <c r="AO146" s="23" t="n">
        <f aca="false">'Qté 2027'!AO146*$C146</f>
        <v>0</v>
      </c>
      <c r="AP146" s="23" t="n">
        <f aca="false">'Qté 2027'!AP146*$C146</f>
        <v>0</v>
      </c>
      <c r="AQ146" s="23" t="n">
        <f aca="false">'Qté 2027'!AQ146*$C146</f>
        <v>0</v>
      </c>
      <c r="AR146" s="23" t="n">
        <f aca="false">'Qté 2027'!AR146*$C146</f>
        <v>0</v>
      </c>
      <c r="AS146" s="23" t="n">
        <f aca="false">'Qté 2027'!AS146*$C146</f>
        <v>0</v>
      </c>
      <c r="AT146" s="23" t="n">
        <f aca="false">'Qté 2027'!AT146*$C146</f>
        <v>0</v>
      </c>
      <c r="AU146" s="23" t="n">
        <f aca="false">'Qté 2027'!AU146*$C146</f>
        <v>0</v>
      </c>
      <c r="AV146" s="23" t="n">
        <f aca="false">'Qté 2027'!AV146*$C146</f>
        <v>0</v>
      </c>
      <c r="AW146" s="23" t="n">
        <f aca="false">'Qté 2027'!AW146*$C146</f>
        <v>0</v>
      </c>
      <c r="AX146" s="23" t="n">
        <f aca="false">'Qté 2027'!AX146*$C146</f>
        <v>0</v>
      </c>
      <c r="AY146" s="23" t="n">
        <f aca="false">'Qté 2027'!AY146*$C146</f>
        <v>0</v>
      </c>
      <c r="AZ146" s="23" t="n">
        <f aca="false">'Qté 2027'!AZ146*$C146</f>
        <v>0</v>
      </c>
      <c r="BA146" s="23" t="n">
        <f aca="false">'Qté 2027'!BA146*$C146</f>
        <v>0</v>
      </c>
      <c r="BB146" s="23" t="n">
        <f aca="false">'Qté 2027'!BB146*$C146</f>
        <v>0</v>
      </c>
      <c r="BC146" s="23" t="n">
        <f aca="false">'Qté 2027'!BC146*$C146</f>
        <v>0</v>
      </c>
      <c r="BD146" s="15" t="n">
        <f aca="false">SUM(D146:BC146)</f>
        <v>10.6986</v>
      </c>
    </row>
    <row r="147" customFormat="false" ht="15" hidden="false" customHeight="false" outlineLevel="0" collapsed="false">
      <c r="A147" s="5" t="s">
        <v>323</v>
      </c>
      <c r="B147" s="5" t="s">
        <v>42</v>
      </c>
      <c r="C147" s="22" t="n">
        <v>14</v>
      </c>
      <c r="D147" s="23" t="n">
        <f aca="false">'Qté 2027'!D147*$C147</f>
        <v>0</v>
      </c>
      <c r="E147" s="23" t="n">
        <f aca="false">'Qté 2027'!E147*$C147</f>
        <v>0</v>
      </c>
      <c r="F147" s="23" t="n">
        <f aca="false">'Qté 2027'!F147*$C147</f>
        <v>0</v>
      </c>
      <c r="G147" s="23" t="n">
        <f aca="false">'Qté 2027'!G147*$C147</f>
        <v>0</v>
      </c>
      <c r="H147" s="23" t="n">
        <f aca="false">'Qté 2027'!H147*$C147</f>
        <v>0</v>
      </c>
      <c r="I147" s="23" t="n">
        <f aca="false">'Qté 2027'!I147*$C147</f>
        <v>0</v>
      </c>
      <c r="J147" s="23" t="n">
        <f aca="false">'Qté 2027'!J147*$C147</f>
        <v>0</v>
      </c>
      <c r="K147" s="23" t="n">
        <f aca="false">'Qté 2027'!K147*$C147</f>
        <v>0</v>
      </c>
      <c r="L147" s="23" t="n">
        <f aca="false">'Qté 2027'!L147*$C147</f>
        <v>0</v>
      </c>
      <c r="M147" s="23" t="n">
        <f aca="false">'Qté 2027'!M147*$C147</f>
        <v>0</v>
      </c>
      <c r="N147" s="23" t="n">
        <f aca="false">'Qté 2027'!N147*$C147</f>
        <v>0</v>
      </c>
      <c r="O147" s="23" t="n">
        <f aca="false">'Qté 2027'!O147*$C147</f>
        <v>0</v>
      </c>
      <c r="P147" s="23" t="n">
        <f aca="false">'Qté 2027'!P147*$C147</f>
        <v>0</v>
      </c>
      <c r="Q147" s="23" t="n">
        <f aca="false">'Qté 2027'!Q147*$C147</f>
        <v>0</v>
      </c>
      <c r="R147" s="23" t="n">
        <f aca="false">'Qté 2027'!R147*$C147</f>
        <v>0</v>
      </c>
      <c r="S147" s="23" t="n">
        <f aca="false">'Qté 2027'!S147*$C147</f>
        <v>0</v>
      </c>
      <c r="T147" s="23" t="n">
        <f aca="false">'Qté 2027'!T147*$C147</f>
        <v>0</v>
      </c>
      <c r="U147" s="23" t="n">
        <f aca="false">'Qté 2027'!U147*$C147</f>
        <v>0</v>
      </c>
      <c r="V147" s="23" t="n">
        <f aca="false">'Qté 2027'!V147*$C147</f>
        <v>0</v>
      </c>
      <c r="W147" s="23" t="n">
        <f aca="false">'Qté 2027'!W147*$C147</f>
        <v>1.26</v>
      </c>
      <c r="X147" s="23" t="n">
        <f aca="false">'Qté 2027'!X147*$C147</f>
        <v>2.52</v>
      </c>
      <c r="Y147" s="23" t="n">
        <f aca="false">'Qté 2027'!Y147*$C147</f>
        <v>1.26</v>
      </c>
      <c r="Z147" s="23" t="n">
        <f aca="false">'Qté 2027'!Z147*$C147</f>
        <v>0</v>
      </c>
      <c r="AA147" s="23" t="n">
        <f aca="false">'Qté 2027'!AA147*$C147</f>
        <v>0</v>
      </c>
      <c r="AB147" s="23" t="n">
        <f aca="false">'Qté 2027'!AB147*$C147</f>
        <v>0</v>
      </c>
      <c r="AC147" s="23" t="n">
        <f aca="false">'Qté 2027'!AC147*$C147</f>
        <v>0</v>
      </c>
      <c r="AD147" s="23" t="n">
        <f aca="false">'Qté 2027'!AD147*$C147</f>
        <v>0</v>
      </c>
      <c r="AE147" s="23" t="n">
        <f aca="false">'Qté 2027'!AE147*$C147</f>
        <v>0</v>
      </c>
      <c r="AF147" s="23" t="n">
        <f aca="false">'Qté 2027'!AF147*$C147</f>
        <v>0</v>
      </c>
      <c r="AG147" s="23" t="n">
        <f aca="false">'Qté 2027'!AG147*$C147</f>
        <v>0</v>
      </c>
      <c r="AH147" s="23" t="n">
        <f aca="false">'Qté 2027'!AH147*$C147</f>
        <v>0</v>
      </c>
      <c r="AI147" s="23" t="n">
        <f aca="false">'Qté 2027'!AI147*$C147</f>
        <v>0</v>
      </c>
      <c r="AJ147" s="23" t="n">
        <f aca="false">'Qté 2027'!AJ147*$C147</f>
        <v>0</v>
      </c>
      <c r="AK147" s="23" t="n">
        <f aca="false">'Qté 2027'!AK147*$C147</f>
        <v>0</v>
      </c>
      <c r="AL147" s="23" t="n">
        <f aca="false">'Qté 2027'!AL147*$C147</f>
        <v>0</v>
      </c>
      <c r="AM147" s="23" t="n">
        <f aca="false">'Qté 2027'!AM147*$C147</f>
        <v>0</v>
      </c>
      <c r="AN147" s="23" t="n">
        <f aca="false">'Qté 2027'!AN147*$C147</f>
        <v>0.7</v>
      </c>
      <c r="AO147" s="23" t="n">
        <f aca="false">'Qté 2027'!AO147*$C147</f>
        <v>2.1</v>
      </c>
      <c r="AP147" s="23" t="n">
        <f aca="false">'Qté 2027'!AP147*$C147</f>
        <v>2.1</v>
      </c>
      <c r="AQ147" s="23" t="n">
        <f aca="false">'Qté 2027'!AQ147*$C147</f>
        <v>0.7</v>
      </c>
      <c r="AR147" s="23" t="n">
        <f aca="false">'Qté 2027'!AR147*$C147</f>
        <v>0</v>
      </c>
      <c r="AS147" s="23" t="n">
        <f aca="false">'Qté 2027'!AS147*$C147</f>
        <v>0</v>
      </c>
      <c r="AT147" s="23" t="n">
        <f aca="false">'Qté 2027'!AT147*$C147</f>
        <v>0</v>
      </c>
      <c r="AU147" s="23" t="n">
        <f aca="false">'Qté 2027'!AU147*$C147</f>
        <v>0</v>
      </c>
      <c r="AV147" s="23" t="n">
        <f aca="false">'Qté 2027'!AV147*$C147</f>
        <v>0</v>
      </c>
      <c r="AW147" s="23" t="n">
        <f aca="false">'Qté 2027'!AW147*$C147</f>
        <v>0</v>
      </c>
      <c r="AX147" s="23" t="n">
        <f aca="false">'Qté 2027'!AX147*$C147</f>
        <v>0</v>
      </c>
      <c r="AY147" s="23" t="n">
        <f aca="false">'Qté 2027'!AY147*$C147</f>
        <v>0</v>
      </c>
      <c r="AZ147" s="23" t="n">
        <f aca="false">'Qté 2027'!AZ147*$C147</f>
        <v>0</v>
      </c>
      <c r="BA147" s="23" t="n">
        <f aca="false">'Qté 2027'!BA147*$C147</f>
        <v>0</v>
      </c>
      <c r="BB147" s="23" t="n">
        <f aca="false">'Qté 2027'!BB147*$C147</f>
        <v>0</v>
      </c>
      <c r="BC147" s="23" t="n">
        <f aca="false">'Qté 2027'!BC147*$C147</f>
        <v>0</v>
      </c>
      <c r="BD147" s="15" t="n">
        <f aca="false">SUM(D147:BC147)</f>
        <v>10.64</v>
      </c>
    </row>
    <row r="148" customFormat="false" ht="15" hidden="false" customHeight="false" outlineLevel="0" collapsed="false">
      <c r="A148" s="5" t="s">
        <v>324</v>
      </c>
      <c r="B148" s="5" t="s">
        <v>63</v>
      </c>
      <c r="C148" s="22" t="n">
        <v>6.18</v>
      </c>
      <c r="D148" s="23" t="n">
        <f aca="false">'Qté 2027'!D148*$C148</f>
        <v>0</v>
      </c>
      <c r="E148" s="23" t="n">
        <f aca="false">'Qté 2027'!E148*$C148</f>
        <v>0</v>
      </c>
      <c r="F148" s="23" t="n">
        <f aca="false">'Qté 2027'!F148*$C148</f>
        <v>0</v>
      </c>
      <c r="G148" s="23" t="n">
        <f aca="false">'Qté 2027'!G148*$C148</f>
        <v>0</v>
      </c>
      <c r="H148" s="23" t="n">
        <f aca="false">'Qté 2027'!H148*$C148</f>
        <v>0</v>
      </c>
      <c r="I148" s="23" t="n">
        <f aca="false">'Qté 2027'!I148*$C148</f>
        <v>0</v>
      </c>
      <c r="J148" s="23" t="n">
        <f aca="false">'Qté 2027'!J148*$C148</f>
        <v>0</v>
      </c>
      <c r="K148" s="23" t="n">
        <f aca="false">'Qté 2027'!K148*$C148</f>
        <v>0</v>
      </c>
      <c r="L148" s="23" t="n">
        <f aca="false">'Qté 2027'!L148*$C148</f>
        <v>0</v>
      </c>
      <c r="M148" s="23" t="n">
        <f aca="false">'Qté 2027'!M148*$C148</f>
        <v>0</v>
      </c>
      <c r="N148" s="23" t="n">
        <f aca="false">'Qté 2027'!N148*$C148</f>
        <v>0</v>
      </c>
      <c r="O148" s="23" t="n">
        <f aca="false">'Qté 2027'!O148*$C148</f>
        <v>0</v>
      </c>
      <c r="P148" s="23" t="n">
        <f aca="false">'Qté 2027'!P148*$C148</f>
        <v>0.3708</v>
      </c>
      <c r="Q148" s="23" t="n">
        <f aca="false">'Qté 2027'!Q148*$C148</f>
        <v>0.6798</v>
      </c>
      <c r="R148" s="23" t="n">
        <f aca="false">'Qté 2027'!R148*$C148</f>
        <v>0.3708</v>
      </c>
      <c r="S148" s="23" t="n">
        <f aca="false">'Qté 2027'!S148*$C148</f>
        <v>0</v>
      </c>
      <c r="T148" s="23" t="n">
        <f aca="false">'Qté 2027'!T148*$C148</f>
        <v>0</v>
      </c>
      <c r="U148" s="23" t="n">
        <f aca="false">'Qté 2027'!U148*$C148</f>
        <v>0</v>
      </c>
      <c r="V148" s="23" t="n">
        <f aca="false">'Qté 2027'!V148*$C148</f>
        <v>0</v>
      </c>
      <c r="W148" s="23" t="n">
        <f aca="false">'Qté 2027'!W148*$C148</f>
        <v>0.1854</v>
      </c>
      <c r="X148" s="23" t="n">
        <f aca="false">'Qté 2027'!X148*$C148</f>
        <v>0.4326</v>
      </c>
      <c r="Y148" s="23" t="n">
        <f aca="false">'Qté 2027'!Y148*$C148</f>
        <v>0.1854</v>
      </c>
      <c r="Z148" s="23" t="n">
        <f aca="false">'Qté 2027'!Z148*$C148</f>
        <v>0</v>
      </c>
      <c r="AA148" s="23" t="n">
        <f aca="false">'Qté 2027'!AA148*$C148</f>
        <v>0</v>
      </c>
      <c r="AB148" s="23" t="n">
        <f aca="false">'Qté 2027'!AB148*$C148</f>
        <v>0</v>
      </c>
      <c r="AC148" s="23" t="n">
        <f aca="false">'Qté 2027'!AC148*$C148</f>
        <v>0</v>
      </c>
      <c r="AD148" s="23" t="n">
        <f aca="false">'Qté 2027'!AD148*$C148</f>
        <v>0</v>
      </c>
      <c r="AE148" s="23" t="n">
        <f aca="false">'Qté 2027'!AE148*$C148</f>
        <v>0</v>
      </c>
      <c r="AF148" s="23" t="n">
        <f aca="false">'Qté 2027'!AF148*$C148</f>
        <v>0</v>
      </c>
      <c r="AG148" s="23" t="n">
        <f aca="false">'Qté 2027'!AG148*$C148</f>
        <v>0</v>
      </c>
      <c r="AH148" s="23" t="n">
        <f aca="false">'Qté 2027'!AH148*$C148</f>
        <v>1.9776</v>
      </c>
      <c r="AI148" s="23" t="n">
        <f aca="false">'Qté 2027'!AI148*$C148</f>
        <v>3.8934</v>
      </c>
      <c r="AJ148" s="23" t="n">
        <f aca="false">'Qté 2027'!AJ148*$C148</f>
        <v>1.9776</v>
      </c>
      <c r="AK148" s="23" t="n">
        <f aca="false">'Qté 2027'!AK148*$C148</f>
        <v>0</v>
      </c>
      <c r="AL148" s="23" t="n">
        <f aca="false">'Qté 2027'!AL148*$C148</f>
        <v>0</v>
      </c>
      <c r="AM148" s="23" t="n">
        <f aca="false">'Qté 2027'!AM148*$C148</f>
        <v>0</v>
      </c>
      <c r="AN148" s="23" t="n">
        <f aca="false">'Qté 2027'!AN148*$C148</f>
        <v>0</v>
      </c>
      <c r="AO148" s="23" t="n">
        <f aca="false">'Qté 2027'!AO148*$C148</f>
        <v>0</v>
      </c>
      <c r="AP148" s="23" t="n">
        <f aca="false">'Qté 2027'!AP148*$C148</f>
        <v>0</v>
      </c>
      <c r="AQ148" s="23" t="n">
        <f aca="false">'Qté 2027'!AQ148*$C148</f>
        <v>0</v>
      </c>
      <c r="AR148" s="23" t="n">
        <f aca="false">'Qté 2027'!AR148*$C148</f>
        <v>0</v>
      </c>
      <c r="AS148" s="23" t="n">
        <f aca="false">'Qté 2027'!AS148*$C148</f>
        <v>0</v>
      </c>
      <c r="AT148" s="23" t="n">
        <f aca="false">'Qté 2027'!AT148*$C148</f>
        <v>0</v>
      </c>
      <c r="AU148" s="23" t="n">
        <f aca="false">'Qté 2027'!AU148*$C148</f>
        <v>0</v>
      </c>
      <c r="AV148" s="23" t="n">
        <f aca="false">'Qté 2027'!AV148*$C148</f>
        <v>0</v>
      </c>
      <c r="AW148" s="23" t="n">
        <f aca="false">'Qté 2027'!AW148*$C148</f>
        <v>0</v>
      </c>
      <c r="AX148" s="23" t="n">
        <f aca="false">'Qté 2027'!AX148*$C148</f>
        <v>0</v>
      </c>
      <c r="AY148" s="23" t="n">
        <f aca="false">'Qté 2027'!AY148*$C148</f>
        <v>0</v>
      </c>
      <c r="AZ148" s="23" t="n">
        <f aca="false">'Qté 2027'!AZ148*$C148</f>
        <v>0</v>
      </c>
      <c r="BA148" s="23" t="n">
        <f aca="false">'Qté 2027'!BA148*$C148</f>
        <v>0</v>
      </c>
      <c r="BB148" s="23" t="n">
        <f aca="false">'Qté 2027'!BB148*$C148</f>
        <v>0</v>
      </c>
      <c r="BC148" s="23" t="n">
        <f aca="false">'Qté 2027'!BC148*$C148</f>
        <v>0</v>
      </c>
      <c r="BD148" s="15" t="n">
        <f aca="false">SUM(D148:BC148)</f>
        <v>10.0734</v>
      </c>
    </row>
    <row r="149" customFormat="false" ht="15" hidden="false" customHeight="false" outlineLevel="0" collapsed="false">
      <c r="A149" s="5" t="s">
        <v>325</v>
      </c>
      <c r="B149" s="5" t="s">
        <v>54</v>
      </c>
      <c r="C149" s="22" t="n">
        <v>27</v>
      </c>
      <c r="D149" s="23" t="n">
        <f aca="false">'Qté 2027'!D149*$C149</f>
        <v>0</v>
      </c>
      <c r="E149" s="23" t="n">
        <f aca="false">'Qté 2027'!E149*$C149</f>
        <v>0</v>
      </c>
      <c r="F149" s="23" t="n">
        <f aca="false">'Qté 2027'!F149*$C149</f>
        <v>0</v>
      </c>
      <c r="G149" s="23" t="n">
        <f aca="false">'Qté 2027'!G149*$C149</f>
        <v>0</v>
      </c>
      <c r="H149" s="23" t="n">
        <f aca="false">'Qté 2027'!H149*$C149</f>
        <v>0</v>
      </c>
      <c r="I149" s="23" t="n">
        <f aca="false">'Qté 2027'!I149*$C149</f>
        <v>0</v>
      </c>
      <c r="J149" s="23" t="n">
        <f aca="false">'Qté 2027'!J149*$C149</f>
        <v>0</v>
      </c>
      <c r="K149" s="23" t="n">
        <f aca="false">'Qté 2027'!K149*$C149</f>
        <v>0</v>
      </c>
      <c r="L149" s="23" t="n">
        <f aca="false">'Qté 2027'!L149*$C149</f>
        <v>0</v>
      </c>
      <c r="M149" s="23" t="n">
        <f aca="false">'Qté 2027'!M149*$C149</f>
        <v>0</v>
      </c>
      <c r="N149" s="23" t="n">
        <f aca="false">'Qté 2027'!N149*$C149</f>
        <v>0</v>
      </c>
      <c r="O149" s="23" t="n">
        <f aca="false">'Qté 2027'!O149*$C149</f>
        <v>0</v>
      </c>
      <c r="P149" s="23" t="n">
        <f aca="false">'Qté 2027'!P149*$C149</f>
        <v>0</v>
      </c>
      <c r="Q149" s="23" t="n">
        <f aca="false">'Qté 2027'!Q149*$C149</f>
        <v>0</v>
      </c>
      <c r="R149" s="23" t="n">
        <f aca="false">'Qté 2027'!R149*$C149</f>
        <v>2.43</v>
      </c>
      <c r="S149" s="23" t="n">
        <f aca="false">'Qté 2027'!S149*$C149</f>
        <v>4.86</v>
      </c>
      <c r="T149" s="23" t="n">
        <f aca="false">'Qté 2027'!T149*$C149</f>
        <v>2.43</v>
      </c>
      <c r="U149" s="23" t="n">
        <f aca="false">'Qté 2027'!U149*$C149</f>
        <v>0</v>
      </c>
      <c r="V149" s="23" t="n">
        <f aca="false">'Qté 2027'!V149*$C149</f>
        <v>0</v>
      </c>
      <c r="W149" s="23" t="n">
        <f aca="false">'Qté 2027'!W149*$C149</f>
        <v>0</v>
      </c>
      <c r="X149" s="23" t="n">
        <f aca="false">'Qté 2027'!X149*$C149</f>
        <v>0</v>
      </c>
      <c r="Y149" s="23" t="n">
        <f aca="false">'Qté 2027'!Y149*$C149</f>
        <v>0</v>
      </c>
      <c r="Z149" s="23" t="n">
        <f aca="false">'Qté 2027'!Z149*$C149</f>
        <v>0</v>
      </c>
      <c r="AA149" s="23" t="n">
        <f aca="false">'Qté 2027'!AA149*$C149</f>
        <v>0</v>
      </c>
      <c r="AB149" s="23" t="n">
        <f aca="false">'Qté 2027'!AB149*$C149</f>
        <v>0</v>
      </c>
      <c r="AC149" s="23" t="n">
        <f aca="false">'Qté 2027'!AC149*$C149</f>
        <v>0</v>
      </c>
      <c r="AD149" s="23" t="n">
        <f aca="false">'Qté 2027'!AD149*$C149</f>
        <v>0</v>
      </c>
      <c r="AE149" s="23" t="n">
        <f aca="false">'Qté 2027'!AE149*$C149</f>
        <v>0</v>
      </c>
      <c r="AF149" s="23" t="n">
        <f aca="false">'Qté 2027'!AF149*$C149</f>
        <v>0</v>
      </c>
      <c r="AG149" s="23" t="n">
        <f aca="false">'Qté 2027'!AG149*$C149</f>
        <v>0</v>
      </c>
      <c r="AH149" s="23" t="n">
        <f aca="false">'Qté 2027'!AH149*$C149</f>
        <v>0</v>
      </c>
      <c r="AI149" s="23" t="n">
        <f aca="false">'Qté 2027'!AI149*$C149</f>
        <v>0</v>
      </c>
      <c r="AJ149" s="23" t="n">
        <f aca="false">'Qté 2027'!AJ149*$C149</f>
        <v>0</v>
      </c>
      <c r="AK149" s="23" t="n">
        <f aca="false">'Qté 2027'!AK149*$C149</f>
        <v>0</v>
      </c>
      <c r="AL149" s="23" t="n">
        <f aca="false">'Qté 2027'!AL149*$C149</f>
        <v>0</v>
      </c>
      <c r="AM149" s="23" t="n">
        <f aca="false">'Qté 2027'!AM149*$C149</f>
        <v>0</v>
      </c>
      <c r="AN149" s="23" t="n">
        <f aca="false">'Qté 2027'!AN149*$C149</f>
        <v>0</v>
      </c>
      <c r="AO149" s="23" t="n">
        <f aca="false">'Qté 2027'!AO149*$C149</f>
        <v>0</v>
      </c>
      <c r="AP149" s="23" t="n">
        <f aca="false">'Qté 2027'!AP149*$C149</f>
        <v>0</v>
      </c>
      <c r="AQ149" s="23" t="n">
        <f aca="false">'Qté 2027'!AQ149*$C149</f>
        <v>0</v>
      </c>
      <c r="AR149" s="23" t="n">
        <f aca="false">'Qté 2027'!AR149*$C149</f>
        <v>0</v>
      </c>
      <c r="AS149" s="23" t="n">
        <f aca="false">'Qté 2027'!AS149*$C149</f>
        <v>0</v>
      </c>
      <c r="AT149" s="23" t="n">
        <f aca="false">'Qté 2027'!AT149*$C149</f>
        <v>0</v>
      </c>
      <c r="AU149" s="23" t="n">
        <f aca="false">'Qté 2027'!AU149*$C149</f>
        <v>0</v>
      </c>
      <c r="AV149" s="23" t="n">
        <f aca="false">'Qté 2027'!AV149*$C149</f>
        <v>0</v>
      </c>
      <c r="AW149" s="23" t="n">
        <f aca="false">'Qté 2027'!AW149*$C149</f>
        <v>0</v>
      </c>
      <c r="AX149" s="23" t="n">
        <f aca="false">'Qté 2027'!AX149*$C149</f>
        <v>0</v>
      </c>
      <c r="AY149" s="23" t="n">
        <f aca="false">'Qté 2027'!AY149*$C149</f>
        <v>0</v>
      </c>
      <c r="AZ149" s="23" t="n">
        <f aca="false">'Qté 2027'!AZ149*$C149</f>
        <v>0</v>
      </c>
      <c r="BA149" s="23" t="n">
        <f aca="false">'Qté 2027'!BA149*$C149</f>
        <v>0</v>
      </c>
      <c r="BB149" s="23" t="n">
        <f aca="false">'Qté 2027'!BB149*$C149</f>
        <v>0</v>
      </c>
      <c r="BC149" s="23" t="n">
        <f aca="false">'Qté 2027'!BC149*$C149</f>
        <v>0</v>
      </c>
      <c r="BD149" s="15" t="n">
        <f aca="false">SUM(D149:BC149)</f>
        <v>9.72</v>
      </c>
    </row>
    <row r="150" customFormat="false" ht="15" hidden="false" customHeight="false" outlineLevel="0" collapsed="false">
      <c r="A150" s="5" t="s">
        <v>326</v>
      </c>
      <c r="B150" s="5" t="s">
        <v>69</v>
      </c>
      <c r="C150" s="22" t="n">
        <v>14.28</v>
      </c>
      <c r="D150" s="23" t="n">
        <f aca="false">'Qté 2027'!D150*$C150</f>
        <v>0</v>
      </c>
      <c r="E150" s="23" t="n">
        <f aca="false">'Qté 2027'!E150*$C150</f>
        <v>0</v>
      </c>
      <c r="F150" s="23" t="n">
        <f aca="false">'Qté 2027'!F150*$C150</f>
        <v>0</v>
      </c>
      <c r="G150" s="23" t="n">
        <f aca="false">'Qté 2027'!G150*$C150</f>
        <v>0</v>
      </c>
      <c r="H150" s="23" t="n">
        <f aca="false">'Qté 2027'!H150*$C150</f>
        <v>0</v>
      </c>
      <c r="I150" s="23" t="n">
        <f aca="false">'Qté 2027'!I150*$C150</f>
        <v>0</v>
      </c>
      <c r="J150" s="23" t="n">
        <f aca="false">'Qté 2027'!J150*$C150</f>
        <v>0</v>
      </c>
      <c r="K150" s="23" t="n">
        <f aca="false">'Qté 2027'!K150*$C150</f>
        <v>0</v>
      </c>
      <c r="L150" s="23" t="n">
        <f aca="false">'Qté 2027'!L150*$C150</f>
        <v>0</v>
      </c>
      <c r="M150" s="23" t="n">
        <f aca="false">'Qté 2027'!M150*$C150</f>
        <v>0</v>
      </c>
      <c r="N150" s="23" t="n">
        <f aca="false">'Qté 2027'!N150*$C150</f>
        <v>0</v>
      </c>
      <c r="O150" s="23" t="n">
        <f aca="false">'Qté 2027'!O150*$C150</f>
        <v>0</v>
      </c>
      <c r="P150" s="23" t="n">
        <f aca="false">'Qté 2027'!P150*$C150</f>
        <v>0</v>
      </c>
      <c r="Q150" s="23" t="n">
        <f aca="false">'Qté 2027'!Q150*$C150</f>
        <v>0</v>
      </c>
      <c r="R150" s="23" t="n">
        <f aca="false">'Qté 2027'!R150*$C150</f>
        <v>0</v>
      </c>
      <c r="S150" s="23" t="n">
        <f aca="false">'Qté 2027'!S150*$C150</f>
        <v>0</v>
      </c>
      <c r="T150" s="23" t="n">
        <f aca="false">'Qté 2027'!T150*$C150</f>
        <v>0</v>
      </c>
      <c r="U150" s="23" t="n">
        <f aca="false">'Qté 2027'!U150*$C150</f>
        <v>0</v>
      </c>
      <c r="V150" s="23" t="n">
        <f aca="false">'Qté 2027'!V150*$C150</f>
        <v>0</v>
      </c>
      <c r="W150" s="23" t="n">
        <f aca="false">'Qté 2027'!W150*$C150</f>
        <v>0</v>
      </c>
      <c r="X150" s="23" t="n">
        <f aca="false">'Qté 2027'!X150*$C150</f>
        <v>0</v>
      </c>
      <c r="Y150" s="23" t="n">
        <f aca="false">'Qté 2027'!Y150*$C150</f>
        <v>0</v>
      </c>
      <c r="Z150" s="23" t="n">
        <f aca="false">'Qté 2027'!Z150*$C150</f>
        <v>0</v>
      </c>
      <c r="AA150" s="23" t="n">
        <f aca="false">'Qté 2027'!AA150*$C150</f>
        <v>0</v>
      </c>
      <c r="AB150" s="23" t="n">
        <f aca="false">'Qté 2027'!AB150*$C150</f>
        <v>0</v>
      </c>
      <c r="AC150" s="23" t="n">
        <f aca="false">'Qté 2027'!AC150*$C150</f>
        <v>0</v>
      </c>
      <c r="AD150" s="23" t="n">
        <f aca="false">'Qté 2027'!AD150*$C150</f>
        <v>2.4276</v>
      </c>
      <c r="AE150" s="23" t="n">
        <f aca="false">'Qté 2027'!AE150*$C150</f>
        <v>4.8552</v>
      </c>
      <c r="AF150" s="23" t="n">
        <f aca="false">'Qté 2027'!AF150*$C150</f>
        <v>2.4276</v>
      </c>
      <c r="AG150" s="23" t="n">
        <f aca="false">'Qté 2027'!AG150*$C150</f>
        <v>0</v>
      </c>
      <c r="AH150" s="23" t="n">
        <f aca="false">'Qté 2027'!AH150*$C150</f>
        <v>0</v>
      </c>
      <c r="AI150" s="23" t="n">
        <f aca="false">'Qté 2027'!AI150*$C150</f>
        <v>0</v>
      </c>
      <c r="AJ150" s="23" t="n">
        <f aca="false">'Qté 2027'!AJ150*$C150</f>
        <v>0</v>
      </c>
      <c r="AK150" s="23" t="n">
        <f aca="false">'Qté 2027'!AK150*$C150</f>
        <v>0</v>
      </c>
      <c r="AL150" s="23" t="n">
        <f aca="false">'Qté 2027'!AL150*$C150</f>
        <v>0</v>
      </c>
      <c r="AM150" s="23" t="n">
        <f aca="false">'Qté 2027'!AM150*$C150</f>
        <v>0</v>
      </c>
      <c r="AN150" s="23" t="n">
        <f aca="false">'Qté 2027'!AN150*$C150</f>
        <v>0</v>
      </c>
      <c r="AO150" s="23" t="n">
        <f aca="false">'Qté 2027'!AO150*$C150</f>
        <v>0</v>
      </c>
      <c r="AP150" s="23" t="n">
        <f aca="false">'Qté 2027'!AP150*$C150</f>
        <v>0</v>
      </c>
      <c r="AQ150" s="23" t="n">
        <f aca="false">'Qté 2027'!AQ150*$C150</f>
        <v>0</v>
      </c>
      <c r="AR150" s="23" t="n">
        <f aca="false">'Qté 2027'!AR150*$C150</f>
        <v>0</v>
      </c>
      <c r="AS150" s="23" t="n">
        <f aca="false">'Qté 2027'!AS150*$C150</f>
        <v>0</v>
      </c>
      <c r="AT150" s="23" t="n">
        <f aca="false">'Qté 2027'!AT150*$C150</f>
        <v>0</v>
      </c>
      <c r="AU150" s="23" t="n">
        <f aca="false">'Qté 2027'!AU150*$C150</f>
        <v>0</v>
      </c>
      <c r="AV150" s="23" t="n">
        <f aca="false">'Qté 2027'!AV150*$C150</f>
        <v>0</v>
      </c>
      <c r="AW150" s="23" t="n">
        <f aca="false">'Qté 2027'!AW150*$C150</f>
        <v>0</v>
      </c>
      <c r="AX150" s="23" t="n">
        <f aca="false">'Qté 2027'!AX150*$C150</f>
        <v>0</v>
      </c>
      <c r="AY150" s="23" t="n">
        <f aca="false">'Qté 2027'!AY150*$C150</f>
        <v>0</v>
      </c>
      <c r="AZ150" s="23" t="n">
        <f aca="false">'Qté 2027'!AZ150*$C150</f>
        <v>0</v>
      </c>
      <c r="BA150" s="23" t="n">
        <f aca="false">'Qté 2027'!BA150*$C150</f>
        <v>0</v>
      </c>
      <c r="BB150" s="23" t="n">
        <f aca="false">'Qté 2027'!BB150*$C150</f>
        <v>0</v>
      </c>
      <c r="BC150" s="23" t="n">
        <f aca="false">'Qté 2027'!BC150*$C150</f>
        <v>0</v>
      </c>
      <c r="BD150" s="15" t="n">
        <f aca="false">SUM(D150:BC150)</f>
        <v>9.7104</v>
      </c>
    </row>
    <row r="151" customFormat="false" ht="15" hidden="false" customHeight="false" outlineLevel="0" collapsed="false">
      <c r="A151" s="5" t="s">
        <v>327</v>
      </c>
      <c r="B151" s="5" t="s">
        <v>63</v>
      </c>
      <c r="C151" s="22" t="n">
        <v>15.05</v>
      </c>
      <c r="D151" s="23" t="n">
        <f aca="false">'Qté 2027'!D151*$C151</f>
        <v>0</v>
      </c>
      <c r="E151" s="23" t="n">
        <f aca="false">'Qté 2027'!E151*$C151</f>
        <v>0</v>
      </c>
      <c r="F151" s="23" t="n">
        <f aca="false">'Qté 2027'!F151*$C151</f>
        <v>0</v>
      </c>
      <c r="G151" s="23" t="n">
        <f aca="false">'Qté 2027'!G151*$C151</f>
        <v>0</v>
      </c>
      <c r="H151" s="23" t="n">
        <f aca="false">'Qté 2027'!H151*$C151</f>
        <v>0</v>
      </c>
      <c r="I151" s="23" t="n">
        <f aca="false">'Qté 2027'!I151*$C151</f>
        <v>0</v>
      </c>
      <c r="J151" s="23" t="n">
        <f aca="false">'Qté 2027'!J151*$C151</f>
        <v>0</v>
      </c>
      <c r="K151" s="23" t="n">
        <f aca="false">'Qté 2027'!K151*$C151</f>
        <v>0</v>
      </c>
      <c r="L151" s="23" t="n">
        <f aca="false">'Qté 2027'!L151*$C151</f>
        <v>0</v>
      </c>
      <c r="M151" s="23" t="n">
        <f aca="false">'Qté 2027'!M151*$C151</f>
        <v>0</v>
      </c>
      <c r="N151" s="23" t="n">
        <f aca="false">'Qté 2027'!N151*$C151</f>
        <v>0</v>
      </c>
      <c r="O151" s="23" t="n">
        <f aca="false">'Qté 2027'!O151*$C151</f>
        <v>0</v>
      </c>
      <c r="P151" s="23" t="n">
        <f aca="false">'Qté 2027'!P151*$C151</f>
        <v>0.903</v>
      </c>
      <c r="Q151" s="23" t="n">
        <f aca="false">'Qté 2027'!Q151*$C151</f>
        <v>1.6555</v>
      </c>
      <c r="R151" s="23" t="n">
        <f aca="false">'Qté 2027'!R151*$C151</f>
        <v>0.903</v>
      </c>
      <c r="S151" s="23" t="n">
        <f aca="false">'Qté 2027'!S151*$C151</f>
        <v>0</v>
      </c>
      <c r="T151" s="23" t="n">
        <f aca="false">'Qté 2027'!T151*$C151</f>
        <v>0</v>
      </c>
      <c r="U151" s="23" t="n">
        <f aca="false">'Qté 2027'!U151*$C151</f>
        <v>0</v>
      </c>
      <c r="V151" s="23" t="n">
        <f aca="false">'Qté 2027'!V151*$C151</f>
        <v>0</v>
      </c>
      <c r="W151" s="23" t="n">
        <f aca="false">'Qté 2027'!W151*$C151</f>
        <v>0</v>
      </c>
      <c r="X151" s="23" t="n">
        <f aca="false">'Qté 2027'!X151*$C151</f>
        <v>0</v>
      </c>
      <c r="Y151" s="23" t="n">
        <f aca="false">'Qté 2027'!Y151*$C151</f>
        <v>0</v>
      </c>
      <c r="Z151" s="23" t="n">
        <f aca="false">'Qté 2027'!Z151*$C151</f>
        <v>0</v>
      </c>
      <c r="AA151" s="23" t="n">
        <f aca="false">'Qté 2027'!AA151*$C151</f>
        <v>0</v>
      </c>
      <c r="AB151" s="23" t="n">
        <f aca="false">'Qté 2027'!AB151*$C151</f>
        <v>0</v>
      </c>
      <c r="AC151" s="23" t="n">
        <f aca="false">'Qté 2027'!AC151*$C151</f>
        <v>0</v>
      </c>
      <c r="AD151" s="23" t="n">
        <f aca="false">'Qté 2027'!AD151*$C151</f>
        <v>0</v>
      </c>
      <c r="AE151" s="23" t="n">
        <f aca="false">'Qté 2027'!AE151*$C151</f>
        <v>0</v>
      </c>
      <c r="AF151" s="23" t="n">
        <f aca="false">'Qté 2027'!AF151*$C151</f>
        <v>1.204</v>
      </c>
      <c r="AG151" s="23" t="n">
        <f aca="false">'Qté 2027'!AG151*$C151</f>
        <v>2.5585</v>
      </c>
      <c r="AH151" s="23" t="n">
        <f aca="false">'Qté 2027'!AH151*$C151</f>
        <v>1.204</v>
      </c>
      <c r="AI151" s="23" t="n">
        <f aca="false">'Qté 2027'!AI151*$C151</f>
        <v>0</v>
      </c>
      <c r="AJ151" s="23" t="n">
        <f aca="false">'Qté 2027'!AJ151*$C151</f>
        <v>0</v>
      </c>
      <c r="AK151" s="23" t="n">
        <f aca="false">'Qté 2027'!AK151*$C151</f>
        <v>0</v>
      </c>
      <c r="AL151" s="23" t="n">
        <f aca="false">'Qté 2027'!AL151*$C151</f>
        <v>0</v>
      </c>
      <c r="AM151" s="23" t="n">
        <f aca="false">'Qté 2027'!AM151*$C151</f>
        <v>0</v>
      </c>
      <c r="AN151" s="23" t="n">
        <f aca="false">'Qté 2027'!AN151*$C151</f>
        <v>0</v>
      </c>
      <c r="AO151" s="23" t="n">
        <f aca="false">'Qté 2027'!AO151*$C151</f>
        <v>0</v>
      </c>
      <c r="AP151" s="23" t="n">
        <f aca="false">'Qté 2027'!AP151*$C151</f>
        <v>0</v>
      </c>
      <c r="AQ151" s="23" t="n">
        <f aca="false">'Qté 2027'!AQ151*$C151</f>
        <v>0</v>
      </c>
      <c r="AR151" s="23" t="n">
        <f aca="false">'Qté 2027'!AR151*$C151</f>
        <v>0</v>
      </c>
      <c r="AS151" s="23" t="n">
        <f aca="false">'Qté 2027'!AS151*$C151</f>
        <v>0</v>
      </c>
      <c r="AT151" s="23" t="n">
        <f aca="false">'Qté 2027'!AT151*$C151</f>
        <v>0</v>
      </c>
      <c r="AU151" s="23" t="n">
        <f aca="false">'Qté 2027'!AU151*$C151</f>
        <v>0</v>
      </c>
      <c r="AV151" s="23" t="n">
        <f aca="false">'Qté 2027'!AV151*$C151</f>
        <v>0</v>
      </c>
      <c r="AW151" s="23" t="n">
        <f aca="false">'Qté 2027'!AW151*$C151</f>
        <v>0</v>
      </c>
      <c r="AX151" s="23" t="n">
        <f aca="false">'Qté 2027'!AX151*$C151</f>
        <v>0</v>
      </c>
      <c r="AY151" s="23" t="n">
        <f aca="false">'Qté 2027'!AY151*$C151</f>
        <v>0</v>
      </c>
      <c r="AZ151" s="23" t="n">
        <f aca="false">'Qté 2027'!AZ151*$C151</f>
        <v>0</v>
      </c>
      <c r="BA151" s="23" t="n">
        <f aca="false">'Qté 2027'!BA151*$C151</f>
        <v>0</v>
      </c>
      <c r="BB151" s="23" t="n">
        <f aca="false">'Qté 2027'!BB151*$C151</f>
        <v>0</v>
      </c>
      <c r="BC151" s="23" t="n">
        <f aca="false">'Qté 2027'!BC151*$C151</f>
        <v>0</v>
      </c>
      <c r="BD151" s="15" t="n">
        <f aca="false">SUM(D151:BC151)</f>
        <v>8.428</v>
      </c>
    </row>
    <row r="152" customFormat="false" ht="15" hidden="false" customHeight="false" outlineLevel="0" collapsed="false">
      <c r="A152" s="5" t="s">
        <v>328</v>
      </c>
      <c r="B152" s="5" t="s">
        <v>64</v>
      </c>
      <c r="C152" s="22" t="n">
        <v>8.4</v>
      </c>
      <c r="D152" s="23" t="n">
        <f aca="false">'Qté 2027'!D152*$C152</f>
        <v>0</v>
      </c>
      <c r="E152" s="23" t="n">
        <f aca="false">'Qté 2027'!E152*$C152</f>
        <v>0</v>
      </c>
      <c r="F152" s="23" t="n">
        <f aca="false">'Qté 2027'!F152*$C152</f>
        <v>0</v>
      </c>
      <c r="G152" s="23" t="n">
        <f aca="false">'Qté 2027'!G152*$C152</f>
        <v>0</v>
      </c>
      <c r="H152" s="23" t="n">
        <f aca="false">'Qté 2027'!H152*$C152</f>
        <v>0</v>
      </c>
      <c r="I152" s="23" t="n">
        <f aca="false">'Qté 2027'!I152*$C152</f>
        <v>0</v>
      </c>
      <c r="J152" s="23" t="n">
        <f aca="false">'Qté 2027'!J152*$C152</f>
        <v>0</v>
      </c>
      <c r="K152" s="23" t="n">
        <f aca="false">'Qté 2027'!K152*$C152</f>
        <v>0</v>
      </c>
      <c r="L152" s="23" t="n">
        <f aca="false">'Qté 2027'!L152*$C152</f>
        <v>0</v>
      </c>
      <c r="M152" s="23" t="n">
        <f aca="false">'Qté 2027'!M152*$C152</f>
        <v>0</v>
      </c>
      <c r="N152" s="23" t="n">
        <f aca="false">'Qté 2027'!N152*$C152</f>
        <v>0</v>
      </c>
      <c r="O152" s="23" t="n">
        <f aca="false">'Qté 2027'!O152*$C152</f>
        <v>0</v>
      </c>
      <c r="P152" s="23" t="n">
        <f aca="false">'Qté 2027'!P152*$C152</f>
        <v>0</v>
      </c>
      <c r="Q152" s="23" t="n">
        <f aca="false">'Qté 2027'!Q152*$C152</f>
        <v>0</v>
      </c>
      <c r="R152" s="23" t="n">
        <f aca="false">'Qté 2027'!R152*$C152</f>
        <v>0</v>
      </c>
      <c r="S152" s="23" t="n">
        <f aca="false">'Qté 2027'!S152*$C152</f>
        <v>0</v>
      </c>
      <c r="T152" s="23" t="n">
        <f aca="false">'Qté 2027'!T152*$C152</f>
        <v>0</v>
      </c>
      <c r="U152" s="23" t="n">
        <f aca="false">'Qté 2027'!U152*$C152</f>
        <v>0.672</v>
      </c>
      <c r="V152" s="23" t="n">
        <f aca="false">'Qté 2027'!V152*$C152</f>
        <v>2.1</v>
      </c>
      <c r="W152" s="23" t="n">
        <f aca="false">'Qté 2027'!W152*$C152</f>
        <v>2.184</v>
      </c>
      <c r="X152" s="23" t="n">
        <f aca="false">'Qté 2027'!X152*$C152</f>
        <v>0.756</v>
      </c>
      <c r="Y152" s="23" t="n">
        <f aca="false">'Qté 2027'!Y152*$C152</f>
        <v>0</v>
      </c>
      <c r="Z152" s="23" t="n">
        <f aca="false">'Qté 2027'!Z152*$C152</f>
        <v>0</v>
      </c>
      <c r="AA152" s="23" t="n">
        <f aca="false">'Qté 2027'!AA152*$C152</f>
        <v>0</v>
      </c>
      <c r="AB152" s="23" t="n">
        <f aca="false">'Qté 2027'!AB152*$C152</f>
        <v>0.672</v>
      </c>
      <c r="AC152" s="23" t="n">
        <f aca="false">'Qté 2027'!AC152*$C152</f>
        <v>1.344</v>
      </c>
      <c r="AD152" s="23" t="n">
        <f aca="false">'Qté 2027'!AD152*$C152</f>
        <v>0.672</v>
      </c>
      <c r="AE152" s="23" t="n">
        <f aca="false">'Qté 2027'!AE152*$C152</f>
        <v>0</v>
      </c>
      <c r="AF152" s="23" t="n">
        <f aca="false">'Qté 2027'!AF152*$C152</f>
        <v>0</v>
      </c>
      <c r="AG152" s="23" t="n">
        <f aca="false">'Qté 2027'!AG152*$C152</f>
        <v>0</v>
      </c>
      <c r="AH152" s="23" t="n">
        <f aca="false">'Qté 2027'!AH152*$C152</f>
        <v>0</v>
      </c>
      <c r="AI152" s="23" t="n">
        <f aca="false">'Qté 2027'!AI152*$C152</f>
        <v>0</v>
      </c>
      <c r="AJ152" s="23" t="n">
        <f aca="false">'Qté 2027'!AJ152*$C152</f>
        <v>0</v>
      </c>
      <c r="AK152" s="23" t="n">
        <f aca="false">'Qté 2027'!AK152*$C152</f>
        <v>0</v>
      </c>
      <c r="AL152" s="23" t="n">
        <f aca="false">'Qté 2027'!AL152*$C152</f>
        <v>0</v>
      </c>
      <c r="AM152" s="23" t="n">
        <f aca="false">'Qté 2027'!AM152*$C152</f>
        <v>0</v>
      </c>
      <c r="AN152" s="23" t="n">
        <f aca="false">'Qté 2027'!AN152*$C152</f>
        <v>0</v>
      </c>
      <c r="AO152" s="23" t="n">
        <f aca="false">'Qté 2027'!AO152*$C152</f>
        <v>0</v>
      </c>
      <c r="AP152" s="23" t="n">
        <f aca="false">'Qté 2027'!AP152*$C152</f>
        <v>0</v>
      </c>
      <c r="AQ152" s="23" t="n">
        <f aca="false">'Qté 2027'!AQ152*$C152</f>
        <v>0</v>
      </c>
      <c r="AR152" s="23" t="n">
        <f aca="false">'Qté 2027'!AR152*$C152</f>
        <v>0</v>
      </c>
      <c r="AS152" s="23" t="n">
        <f aca="false">'Qté 2027'!AS152*$C152</f>
        <v>0</v>
      </c>
      <c r="AT152" s="23" t="n">
        <f aca="false">'Qté 2027'!AT152*$C152</f>
        <v>0</v>
      </c>
      <c r="AU152" s="23" t="n">
        <f aca="false">'Qté 2027'!AU152*$C152</f>
        <v>0</v>
      </c>
      <c r="AV152" s="23" t="n">
        <f aca="false">'Qté 2027'!AV152*$C152</f>
        <v>0</v>
      </c>
      <c r="AW152" s="23" t="n">
        <f aca="false">'Qté 2027'!AW152*$C152</f>
        <v>0</v>
      </c>
      <c r="AX152" s="23" t="n">
        <f aca="false">'Qté 2027'!AX152*$C152</f>
        <v>0</v>
      </c>
      <c r="AY152" s="23" t="n">
        <f aca="false">'Qté 2027'!AY152*$C152</f>
        <v>0</v>
      </c>
      <c r="AZ152" s="23" t="n">
        <f aca="false">'Qté 2027'!AZ152*$C152</f>
        <v>0</v>
      </c>
      <c r="BA152" s="23" t="n">
        <f aca="false">'Qté 2027'!BA152*$C152</f>
        <v>0</v>
      </c>
      <c r="BB152" s="23" t="n">
        <f aca="false">'Qté 2027'!BB152*$C152</f>
        <v>0</v>
      </c>
      <c r="BC152" s="23" t="n">
        <f aca="false">'Qté 2027'!BC152*$C152</f>
        <v>0</v>
      </c>
      <c r="BD152" s="15" t="n">
        <f aca="false">SUM(D152:BC152)</f>
        <v>8.4</v>
      </c>
    </row>
    <row r="153" customFormat="false" ht="15" hidden="false" customHeight="false" outlineLevel="0" collapsed="false">
      <c r="A153" s="5" t="s">
        <v>329</v>
      </c>
      <c r="B153" s="5" t="s">
        <v>69</v>
      </c>
      <c r="C153" s="22" t="n">
        <v>25</v>
      </c>
      <c r="D153" s="23" t="n">
        <f aca="false">'Qté 2027'!D153*$C153</f>
        <v>0</v>
      </c>
      <c r="E153" s="23" t="n">
        <f aca="false">'Qté 2027'!E153*$C153</f>
        <v>0</v>
      </c>
      <c r="F153" s="23" t="n">
        <f aca="false">'Qté 2027'!F153*$C153</f>
        <v>0</v>
      </c>
      <c r="G153" s="23" t="n">
        <f aca="false">'Qté 2027'!G153*$C153</f>
        <v>0</v>
      </c>
      <c r="H153" s="23" t="n">
        <f aca="false">'Qté 2027'!H153*$C153</f>
        <v>0</v>
      </c>
      <c r="I153" s="23" t="n">
        <f aca="false">'Qté 2027'!I153*$C153</f>
        <v>0</v>
      </c>
      <c r="J153" s="23" t="n">
        <f aca="false">'Qté 2027'!J153*$C153</f>
        <v>0</v>
      </c>
      <c r="K153" s="23" t="n">
        <f aca="false">'Qté 2027'!K153*$C153</f>
        <v>0</v>
      </c>
      <c r="L153" s="23" t="n">
        <f aca="false">'Qté 2027'!L153*$C153</f>
        <v>0</v>
      </c>
      <c r="M153" s="23" t="n">
        <f aca="false">'Qté 2027'!M153*$C153</f>
        <v>0</v>
      </c>
      <c r="N153" s="23" t="n">
        <f aca="false">'Qté 2027'!N153*$C153</f>
        <v>0</v>
      </c>
      <c r="O153" s="23" t="n">
        <f aca="false">'Qté 2027'!O153*$C153</f>
        <v>0</v>
      </c>
      <c r="P153" s="23" t="n">
        <f aca="false">'Qté 2027'!P153*$C153</f>
        <v>0</v>
      </c>
      <c r="Q153" s="23" t="n">
        <f aca="false">'Qté 2027'!Q153*$C153</f>
        <v>0</v>
      </c>
      <c r="R153" s="23" t="n">
        <f aca="false">'Qté 2027'!R153*$C153</f>
        <v>0</v>
      </c>
      <c r="S153" s="23" t="n">
        <f aca="false">'Qté 2027'!S153*$C153</f>
        <v>0</v>
      </c>
      <c r="T153" s="23" t="n">
        <f aca="false">'Qté 2027'!T153*$C153</f>
        <v>0</v>
      </c>
      <c r="U153" s="23" t="n">
        <f aca="false">'Qté 2027'!U153*$C153</f>
        <v>0</v>
      </c>
      <c r="V153" s="23" t="n">
        <f aca="false">'Qté 2027'!V153*$C153</f>
        <v>0</v>
      </c>
      <c r="W153" s="23" t="n">
        <f aca="false">'Qté 2027'!W153*$C153</f>
        <v>0</v>
      </c>
      <c r="X153" s="23" t="n">
        <f aca="false">'Qté 2027'!X153*$C153</f>
        <v>0</v>
      </c>
      <c r="Y153" s="23" t="n">
        <f aca="false">'Qté 2027'!Y153*$C153</f>
        <v>0</v>
      </c>
      <c r="Z153" s="23" t="n">
        <f aca="false">'Qté 2027'!Z153*$C153</f>
        <v>0</v>
      </c>
      <c r="AA153" s="23" t="n">
        <f aca="false">'Qté 2027'!AA153*$C153</f>
        <v>0</v>
      </c>
      <c r="AB153" s="23" t="n">
        <f aca="false">'Qté 2027'!AB153*$C153</f>
        <v>0</v>
      </c>
      <c r="AC153" s="23" t="n">
        <f aca="false">'Qté 2027'!AC153*$C153</f>
        <v>0</v>
      </c>
      <c r="AD153" s="23" t="n">
        <f aca="false">'Qté 2027'!AD153*$C153</f>
        <v>0</v>
      </c>
      <c r="AE153" s="23" t="n">
        <f aca="false">'Qté 2027'!AE153*$C153</f>
        <v>0</v>
      </c>
      <c r="AF153" s="23" t="n">
        <f aca="false">'Qté 2027'!AF153*$C153</f>
        <v>0</v>
      </c>
      <c r="AG153" s="23" t="n">
        <f aca="false">'Qté 2027'!AG153*$C153</f>
        <v>2</v>
      </c>
      <c r="AH153" s="23" t="n">
        <f aca="false">'Qté 2027'!AH153*$C153</f>
        <v>4.25</v>
      </c>
      <c r="AI153" s="23" t="n">
        <f aca="false">'Qté 2027'!AI153*$C153</f>
        <v>2</v>
      </c>
      <c r="AJ153" s="23" t="n">
        <f aca="false">'Qté 2027'!AJ153*$C153</f>
        <v>0</v>
      </c>
      <c r="AK153" s="23" t="n">
        <f aca="false">'Qté 2027'!AK153*$C153</f>
        <v>0</v>
      </c>
      <c r="AL153" s="23" t="n">
        <f aca="false">'Qté 2027'!AL153*$C153</f>
        <v>0</v>
      </c>
      <c r="AM153" s="23" t="n">
        <f aca="false">'Qté 2027'!AM153*$C153</f>
        <v>0</v>
      </c>
      <c r="AN153" s="23" t="n">
        <f aca="false">'Qté 2027'!AN153*$C153</f>
        <v>0</v>
      </c>
      <c r="AO153" s="23" t="n">
        <f aca="false">'Qté 2027'!AO153*$C153</f>
        <v>0</v>
      </c>
      <c r="AP153" s="23" t="n">
        <f aca="false">'Qté 2027'!AP153*$C153</f>
        <v>0</v>
      </c>
      <c r="AQ153" s="23" t="n">
        <f aca="false">'Qté 2027'!AQ153*$C153</f>
        <v>0</v>
      </c>
      <c r="AR153" s="23" t="n">
        <f aca="false">'Qté 2027'!AR153*$C153</f>
        <v>0</v>
      </c>
      <c r="AS153" s="23" t="n">
        <f aca="false">'Qté 2027'!AS153*$C153</f>
        <v>0</v>
      </c>
      <c r="AT153" s="23" t="n">
        <f aca="false">'Qté 2027'!AT153*$C153</f>
        <v>0</v>
      </c>
      <c r="AU153" s="23" t="n">
        <f aca="false">'Qté 2027'!AU153*$C153</f>
        <v>0</v>
      </c>
      <c r="AV153" s="23" t="n">
        <f aca="false">'Qté 2027'!AV153*$C153</f>
        <v>0</v>
      </c>
      <c r="AW153" s="23" t="n">
        <f aca="false">'Qté 2027'!AW153*$C153</f>
        <v>0</v>
      </c>
      <c r="AX153" s="23" t="n">
        <f aca="false">'Qté 2027'!AX153*$C153</f>
        <v>0</v>
      </c>
      <c r="AY153" s="23" t="n">
        <f aca="false">'Qté 2027'!AY153*$C153</f>
        <v>0</v>
      </c>
      <c r="AZ153" s="23" t="n">
        <f aca="false">'Qté 2027'!AZ153*$C153</f>
        <v>0</v>
      </c>
      <c r="BA153" s="23" t="n">
        <f aca="false">'Qté 2027'!BA153*$C153</f>
        <v>0</v>
      </c>
      <c r="BB153" s="23" t="n">
        <f aca="false">'Qté 2027'!BB153*$C153</f>
        <v>0</v>
      </c>
      <c r="BC153" s="23" t="n">
        <f aca="false">'Qté 2027'!BC153*$C153</f>
        <v>0</v>
      </c>
      <c r="BD153" s="15" t="n">
        <f aca="false">SUM(D153:BC153)</f>
        <v>8.25</v>
      </c>
    </row>
    <row r="154" customFormat="false" ht="15" hidden="false" customHeight="false" outlineLevel="0" collapsed="false">
      <c r="A154" s="5" t="s">
        <v>330</v>
      </c>
      <c r="B154" s="5" t="s">
        <v>63</v>
      </c>
      <c r="C154" s="22" t="n">
        <v>24</v>
      </c>
      <c r="D154" s="23" t="n">
        <f aca="false">'Qté 2027'!D154*$C154</f>
        <v>0</v>
      </c>
      <c r="E154" s="23" t="n">
        <f aca="false">'Qté 2027'!E154*$C154</f>
        <v>0</v>
      </c>
      <c r="F154" s="23" t="n">
        <f aca="false">'Qté 2027'!F154*$C154</f>
        <v>0</v>
      </c>
      <c r="G154" s="23" t="n">
        <f aca="false">'Qté 2027'!G154*$C154</f>
        <v>0</v>
      </c>
      <c r="H154" s="23" t="n">
        <f aca="false">'Qté 2027'!H154*$C154</f>
        <v>0</v>
      </c>
      <c r="I154" s="23" t="n">
        <f aca="false">'Qté 2027'!I154*$C154</f>
        <v>0</v>
      </c>
      <c r="J154" s="23" t="n">
        <f aca="false">'Qté 2027'!J154*$C154</f>
        <v>0</v>
      </c>
      <c r="K154" s="23" t="n">
        <f aca="false">'Qté 2027'!K154*$C154</f>
        <v>0</v>
      </c>
      <c r="L154" s="23" t="n">
        <f aca="false">'Qté 2027'!L154*$C154</f>
        <v>0</v>
      </c>
      <c r="M154" s="23" t="n">
        <f aca="false">'Qté 2027'!M154*$C154</f>
        <v>0</v>
      </c>
      <c r="N154" s="23" t="n">
        <f aca="false">'Qté 2027'!N154*$C154</f>
        <v>0</v>
      </c>
      <c r="O154" s="23" t="n">
        <f aca="false">'Qté 2027'!O154*$C154</f>
        <v>0</v>
      </c>
      <c r="P154" s="23" t="n">
        <f aca="false">'Qté 2027'!P154*$C154</f>
        <v>0</v>
      </c>
      <c r="Q154" s="23" t="n">
        <f aca="false">'Qté 2027'!Q154*$C154</f>
        <v>0</v>
      </c>
      <c r="R154" s="23" t="n">
        <f aca="false">'Qté 2027'!R154*$C154</f>
        <v>0</v>
      </c>
      <c r="S154" s="23" t="n">
        <f aca="false">'Qté 2027'!S154*$C154</f>
        <v>0</v>
      </c>
      <c r="T154" s="23" t="n">
        <f aca="false">'Qté 2027'!T154*$C154</f>
        <v>0</v>
      </c>
      <c r="U154" s="23" t="n">
        <f aca="false">'Qté 2027'!U154*$C154</f>
        <v>0</v>
      </c>
      <c r="V154" s="23" t="n">
        <f aca="false">'Qté 2027'!V154*$C154</f>
        <v>0</v>
      </c>
      <c r="W154" s="23" t="n">
        <f aca="false">'Qté 2027'!W154*$C154</f>
        <v>0</v>
      </c>
      <c r="X154" s="23" t="n">
        <f aca="false">'Qté 2027'!X154*$C154</f>
        <v>0</v>
      </c>
      <c r="Y154" s="23" t="n">
        <f aca="false">'Qté 2027'!Y154*$C154</f>
        <v>0</v>
      </c>
      <c r="Z154" s="23" t="n">
        <f aca="false">'Qté 2027'!Z154*$C154</f>
        <v>0</v>
      </c>
      <c r="AA154" s="23" t="n">
        <f aca="false">'Qté 2027'!AA154*$C154</f>
        <v>0</v>
      </c>
      <c r="AB154" s="23" t="n">
        <f aca="false">'Qté 2027'!AB154*$C154</f>
        <v>0</v>
      </c>
      <c r="AC154" s="23" t="n">
        <f aca="false">'Qté 2027'!AC154*$C154</f>
        <v>0</v>
      </c>
      <c r="AD154" s="23" t="n">
        <f aca="false">'Qté 2027'!AD154*$C154</f>
        <v>0</v>
      </c>
      <c r="AE154" s="23" t="n">
        <f aca="false">'Qté 2027'!AE154*$C154</f>
        <v>0</v>
      </c>
      <c r="AF154" s="23" t="n">
        <f aca="false">'Qté 2027'!AF154*$C154</f>
        <v>0</v>
      </c>
      <c r="AG154" s="23" t="n">
        <f aca="false">'Qté 2027'!AG154*$C154</f>
        <v>0</v>
      </c>
      <c r="AH154" s="23" t="n">
        <f aca="false">'Qté 2027'!AH154*$C154</f>
        <v>1.92</v>
      </c>
      <c r="AI154" s="23" t="n">
        <f aca="false">'Qté 2027'!AI154*$C154</f>
        <v>4.08</v>
      </c>
      <c r="AJ154" s="23" t="n">
        <f aca="false">'Qté 2027'!AJ154*$C154</f>
        <v>1.92</v>
      </c>
      <c r="AK154" s="23" t="n">
        <f aca="false">'Qté 2027'!AK154*$C154</f>
        <v>0</v>
      </c>
      <c r="AL154" s="23" t="n">
        <f aca="false">'Qté 2027'!AL154*$C154</f>
        <v>0</v>
      </c>
      <c r="AM154" s="23" t="n">
        <f aca="false">'Qté 2027'!AM154*$C154</f>
        <v>0</v>
      </c>
      <c r="AN154" s="23" t="n">
        <f aca="false">'Qté 2027'!AN154*$C154</f>
        <v>0</v>
      </c>
      <c r="AO154" s="23" t="n">
        <f aca="false">'Qté 2027'!AO154*$C154</f>
        <v>0</v>
      </c>
      <c r="AP154" s="23" t="n">
        <f aca="false">'Qté 2027'!AP154*$C154</f>
        <v>0</v>
      </c>
      <c r="AQ154" s="23" t="n">
        <f aca="false">'Qté 2027'!AQ154*$C154</f>
        <v>0</v>
      </c>
      <c r="AR154" s="23" t="n">
        <f aca="false">'Qté 2027'!AR154*$C154</f>
        <v>0</v>
      </c>
      <c r="AS154" s="23" t="n">
        <f aca="false">'Qté 2027'!AS154*$C154</f>
        <v>0</v>
      </c>
      <c r="AT154" s="23" t="n">
        <f aca="false">'Qté 2027'!AT154*$C154</f>
        <v>0</v>
      </c>
      <c r="AU154" s="23" t="n">
        <f aca="false">'Qté 2027'!AU154*$C154</f>
        <v>0</v>
      </c>
      <c r="AV154" s="23" t="n">
        <f aca="false">'Qté 2027'!AV154*$C154</f>
        <v>0</v>
      </c>
      <c r="AW154" s="23" t="n">
        <f aca="false">'Qté 2027'!AW154*$C154</f>
        <v>0</v>
      </c>
      <c r="AX154" s="23" t="n">
        <f aca="false">'Qté 2027'!AX154*$C154</f>
        <v>0</v>
      </c>
      <c r="AY154" s="23" t="n">
        <f aca="false">'Qté 2027'!AY154*$C154</f>
        <v>0</v>
      </c>
      <c r="AZ154" s="23" t="n">
        <f aca="false">'Qté 2027'!AZ154*$C154</f>
        <v>0</v>
      </c>
      <c r="BA154" s="23" t="n">
        <f aca="false">'Qté 2027'!BA154*$C154</f>
        <v>0</v>
      </c>
      <c r="BB154" s="23" t="n">
        <f aca="false">'Qté 2027'!BB154*$C154</f>
        <v>0</v>
      </c>
      <c r="BC154" s="23" t="n">
        <f aca="false">'Qté 2027'!BC154*$C154</f>
        <v>0</v>
      </c>
      <c r="BD154" s="15" t="n">
        <f aca="false">SUM(D154:BC154)</f>
        <v>7.92</v>
      </c>
    </row>
    <row r="155" customFormat="false" ht="15" hidden="false" customHeight="false" outlineLevel="0" collapsed="false">
      <c r="A155" s="5" t="s">
        <v>331</v>
      </c>
      <c r="B155" s="5" t="s">
        <v>57</v>
      </c>
      <c r="C155" s="22" t="n">
        <v>21.96</v>
      </c>
      <c r="D155" s="23" t="n">
        <f aca="false">'Qté 2027'!D155*$C155</f>
        <v>0</v>
      </c>
      <c r="E155" s="23" t="n">
        <f aca="false">'Qté 2027'!E155*$C155</f>
        <v>0</v>
      </c>
      <c r="F155" s="23" t="n">
        <f aca="false">'Qté 2027'!F155*$C155</f>
        <v>0</v>
      </c>
      <c r="G155" s="23" t="n">
        <f aca="false">'Qté 2027'!G155*$C155</f>
        <v>0</v>
      </c>
      <c r="H155" s="23" t="n">
        <f aca="false">'Qté 2027'!H155*$C155</f>
        <v>0</v>
      </c>
      <c r="I155" s="23" t="n">
        <f aca="false">'Qté 2027'!I155*$C155</f>
        <v>0</v>
      </c>
      <c r="J155" s="23" t="n">
        <f aca="false">'Qté 2027'!J155*$C155</f>
        <v>0</v>
      </c>
      <c r="K155" s="23" t="n">
        <f aca="false">'Qté 2027'!K155*$C155</f>
        <v>0</v>
      </c>
      <c r="L155" s="23" t="n">
        <f aca="false">'Qté 2027'!L155*$C155</f>
        <v>0</v>
      </c>
      <c r="M155" s="23" t="n">
        <f aca="false">'Qté 2027'!M155*$C155</f>
        <v>0</v>
      </c>
      <c r="N155" s="23" t="n">
        <f aca="false">'Qté 2027'!N155*$C155</f>
        <v>0</v>
      </c>
      <c r="O155" s="23" t="n">
        <f aca="false">'Qté 2027'!O155*$C155</f>
        <v>0</v>
      </c>
      <c r="P155" s="23" t="n">
        <f aca="false">'Qté 2027'!P155*$C155</f>
        <v>0</v>
      </c>
      <c r="Q155" s="23" t="n">
        <f aca="false">'Qté 2027'!Q155*$C155</f>
        <v>0</v>
      </c>
      <c r="R155" s="23" t="n">
        <f aca="false">'Qté 2027'!R155*$C155</f>
        <v>0</v>
      </c>
      <c r="S155" s="23" t="n">
        <f aca="false">'Qté 2027'!S155*$C155</f>
        <v>0</v>
      </c>
      <c r="T155" s="23" t="n">
        <f aca="false">'Qté 2027'!T155*$C155</f>
        <v>0</v>
      </c>
      <c r="U155" s="23" t="n">
        <f aca="false">'Qté 2027'!U155*$C155</f>
        <v>0</v>
      </c>
      <c r="V155" s="23" t="n">
        <f aca="false">'Qté 2027'!V155*$C155</f>
        <v>0</v>
      </c>
      <c r="W155" s="23" t="n">
        <f aca="false">'Qté 2027'!W155*$C155</f>
        <v>0</v>
      </c>
      <c r="X155" s="23" t="n">
        <f aca="false">'Qté 2027'!X155*$C155</f>
        <v>0</v>
      </c>
      <c r="Y155" s="23" t="n">
        <f aca="false">'Qté 2027'!Y155*$C155</f>
        <v>0</v>
      </c>
      <c r="Z155" s="23" t="n">
        <f aca="false">'Qté 2027'!Z155*$C155</f>
        <v>0</v>
      </c>
      <c r="AA155" s="23" t="n">
        <f aca="false">'Qté 2027'!AA155*$C155</f>
        <v>0</v>
      </c>
      <c r="AB155" s="23" t="n">
        <f aca="false">'Qté 2027'!AB155*$C155</f>
        <v>0</v>
      </c>
      <c r="AC155" s="23" t="n">
        <f aca="false">'Qté 2027'!AC155*$C155</f>
        <v>1.9764</v>
      </c>
      <c r="AD155" s="23" t="n">
        <f aca="false">'Qté 2027'!AD155*$C155</f>
        <v>3.9528</v>
      </c>
      <c r="AE155" s="23" t="n">
        <f aca="false">'Qté 2027'!AE155*$C155</f>
        <v>1.9764</v>
      </c>
      <c r="AF155" s="23" t="n">
        <f aca="false">'Qté 2027'!AF155*$C155</f>
        <v>0</v>
      </c>
      <c r="AG155" s="23" t="n">
        <f aca="false">'Qté 2027'!AG155*$C155</f>
        <v>0</v>
      </c>
      <c r="AH155" s="23" t="n">
        <f aca="false">'Qté 2027'!AH155*$C155</f>
        <v>0</v>
      </c>
      <c r="AI155" s="23" t="n">
        <f aca="false">'Qté 2027'!AI155*$C155</f>
        <v>0</v>
      </c>
      <c r="AJ155" s="23" t="n">
        <f aca="false">'Qté 2027'!AJ155*$C155</f>
        <v>0</v>
      </c>
      <c r="AK155" s="23" t="n">
        <f aca="false">'Qté 2027'!AK155*$C155</f>
        <v>0</v>
      </c>
      <c r="AL155" s="23" t="n">
        <f aca="false">'Qté 2027'!AL155*$C155</f>
        <v>0</v>
      </c>
      <c r="AM155" s="23" t="n">
        <f aca="false">'Qté 2027'!AM155*$C155</f>
        <v>0</v>
      </c>
      <c r="AN155" s="23" t="n">
        <f aca="false">'Qté 2027'!AN155*$C155</f>
        <v>0</v>
      </c>
      <c r="AO155" s="23" t="n">
        <f aca="false">'Qté 2027'!AO155*$C155</f>
        <v>0</v>
      </c>
      <c r="AP155" s="23" t="n">
        <f aca="false">'Qté 2027'!AP155*$C155</f>
        <v>0</v>
      </c>
      <c r="AQ155" s="23" t="n">
        <f aca="false">'Qté 2027'!AQ155*$C155</f>
        <v>0</v>
      </c>
      <c r="AR155" s="23" t="n">
        <f aca="false">'Qté 2027'!AR155*$C155</f>
        <v>0</v>
      </c>
      <c r="AS155" s="23" t="n">
        <f aca="false">'Qté 2027'!AS155*$C155</f>
        <v>0</v>
      </c>
      <c r="AT155" s="23" t="n">
        <f aca="false">'Qté 2027'!AT155*$C155</f>
        <v>0</v>
      </c>
      <c r="AU155" s="23" t="n">
        <f aca="false">'Qté 2027'!AU155*$C155</f>
        <v>0</v>
      </c>
      <c r="AV155" s="23" t="n">
        <f aca="false">'Qté 2027'!AV155*$C155</f>
        <v>0</v>
      </c>
      <c r="AW155" s="23" t="n">
        <f aca="false">'Qté 2027'!AW155*$C155</f>
        <v>0</v>
      </c>
      <c r="AX155" s="23" t="n">
        <f aca="false">'Qté 2027'!AX155*$C155</f>
        <v>0</v>
      </c>
      <c r="AY155" s="23" t="n">
        <f aca="false">'Qté 2027'!AY155*$C155</f>
        <v>0</v>
      </c>
      <c r="AZ155" s="23" t="n">
        <f aca="false">'Qté 2027'!AZ155*$C155</f>
        <v>0</v>
      </c>
      <c r="BA155" s="23" t="n">
        <f aca="false">'Qté 2027'!BA155*$C155</f>
        <v>0</v>
      </c>
      <c r="BB155" s="23" t="n">
        <f aca="false">'Qté 2027'!BB155*$C155</f>
        <v>0</v>
      </c>
      <c r="BC155" s="23" t="n">
        <f aca="false">'Qté 2027'!BC155*$C155</f>
        <v>0</v>
      </c>
      <c r="BD155" s="15" t="n">
        <f aca="false">SUM(D155:BC155)</f>
        <v>7.9056</v>
      </c>
    </row>
    <row r="156" customFormat="false" ht="15" hidden="false" customHeight="false" outlineLevel="0" collapsed="false">
      <c r="A156" s="5" t="s">
        <v>332</v>
      </c>
      <c r="B156" s="5" t="s">
        <v>57</v>
      </c>
      <c r="C156" s="22" t="n">
        <v>21.85</v>
      </c>
      <c r="D156" s="23" t="n">
        <f aca="false">'Qté 2027'!D156*$C156</f>
        <v>0</v>
      </c>
      <c r="E156" s="23" t="n">
        <f aca="false">'Qté 2027'!E156*$C156</f>
        <v>0</v>
      </c>
      <c r="F156" s="23" t="n">
        <f aca="false">'Qté 2027'!F156*$C156</f>
        <v>0</v>
      </c>
      <c r="G156" s="23" t="n">
        <f aca="false">'Qté 2027'!G156*$C156</f>
        <v>0</v>
      </c>
      <c r="H156" s="23" t="n">
        <f aca="false">'Qté 2027'!H156*$C156</f>
        <v>0</v>
      </c>
      <c r="I156" s="23" t="n">
        <f aca="false">'Qté 2027'!I156*$C156</f>
        <v>0</v>
      </c>
      <c r="J156" s="23" t="n">
        <f aca="false">'Qté 2027'!J156*$C156</f>
        <v>0</v>
      </c>
      <c r="K156" s="23" t="n">
        <f aca="false">'Qté 2027'!K156*$C156</f>
        <v>0</v>
      </c>
      <c r="L156" s="23" t="n">
        <f aca="false">'Qté 2027'!L156*$C156</f>
        <v>0</v>
      </c>
      <c r="M156" s="23" t="n">
        <f aca="false">'Qté 2027'!M156*$C156</f>
        <v>0</v>
      </c>
      <c r="N156" s="23" t="n">
        <f aca="false">'Qté 2027'!N156*$C156</f>
        <v>0</v>
      </c>
      <c r="O156" s="23" t="n">
        <f aca="false">'Qté 2027'!O156*$C156</f>
        <v>0</v>
      </c>
      <c r="P156" s="23" t="n">
        <f aca="false">'Qté 2027'!P156*$C156</f>
        <v>1.9665</v>
      </c>
      <c r="Q156" s="23" t="n">
        <f aca="false">'Qté 2027'!Q156*$C156</f>
        <v>3.933</v>
      </c>
      <c r="R156" s="23" t="n">
        <f aca="false">'Qté 2027'!R156*$C156</f>
        <v>1.9665</v>
      </c>
      <c r="S156" s="23" t="n">
        <f aca="false">'Qté 2027'!S156*$C156</f>
        <v>0</v>
      </c>
      <c r="T156" s="23" t="n">
        <f aca="false">'Qté 2027'!T156*$C156</f>
        <v>0</v>
      </c>
      <c r="U156" s="23" t="n">
        <f aca="false">'Qté 2027'!U156*$C156</f>
        <v>0</v>
      </c>
      <c r="V156" s="23" t="n">
        <f aca="false">'Qté 2027'!V156*$C156</f>
        <v>0</v>
      </c>
      <c r="W156" s="23" t="n">
        <f aca="false">'Qté 2027'!W156*$C156</f>
        <v>0</v>
      </c>
      <c r="X156" s="23" t="n">
        <f aca="false">'Qté 2027'!X156*$C156</f>
        <v>0</v>
      </c>
      <c r="Y156" s="23" t="n">
        <f aca="false">'Qté 2027'!Y156*$C156</f>
        <v>0</v>
      </c>
      <c r="Z156" s="23" t="n">
        <f aca="false">'Qté 2027'!Z156*$C156</f>
        <v>0</v>
      </c>
      <c r="AA156" s="23" t="n">
        <f aca="false">'Qté 2027'!AA156*$C156</f>
        <v>0</v>
      </c>
      <c r="AB156" s="23" t="n">
        <f aca="false">'Qté 2027'!AB156*$C156</f>
        <v>0</v>
      </c>
      <c r="AC156" s="23" t="n">
        <f aca="false">'Qté 2027'!AC156*$C156</f>
        <v>0</v>
      </c>
      <c r="AD156" s="23" t="n">
        <f aca="false">'Qté 2027'!AD156*$C156</f>
        <v>0</v>
      </c>
      <c r="AE156" s="23" t="n">
        <f aca="false">'Qté 2027'!AE156*$C156</f>
        <v>0</v>
      </c>
      <c r="AF156" s="23" t="n">
        <f aca="false">'Qté 2027'!AF156*$C156</f>
        <v>0</v>
      </c>
      <c r="AG156" s="23" t="n">
        <f aca="false">'Qté 2027'!AG156*$C156</f>
        <v>0</v>
      </c>
      <c r="AH156" s="23" t="n">
        <f aca="false">'Qté 2027'!AH156*$C156</f>
        <v>0</v>
      </c>
      <c r="AI156" s="23" t="n">
        <f aca="false">'Qté 2027'!AI156*$C156</f>
        <v>0</v>
      </c>
      <c r="AJ156" s="23" t="n">
        <f aca="false">'Qté 2027'!AJ156*$C156</f>
        <v>0</v>
      </c>
      <c r="AK156" s="23" t="n">
        <f aca="false">'Qté 2027'!AK156*$C156</f>
        <v>0</v>
      </c>
      <c r="AL156" s="23" t="n">
        <f aca="false">'Qté 2027'!AL156*$C156</f>
        <v>0</v>
      </c>
      <c r="AM156" s="23" t="n">
        <f aca="false">'Qté 2027'!AM156*$C156</f>
        <v>0</v>
      </c>
      <c r="AN156" s="23" t="n">
        <f aca="false">'Qté 2027'!AN156*$C156</f>
        <v>0</v>
      </c>
      <c r="AO156" s="23" t="n">
        <f aca="false">'Qté 2027'!AO156*$C156</f>
        <v>0</v>
      </c>
      <c r="AP156" s="23" t="n">
        <f aca="false">'Qté 2027'!AP156*$C156</f>
        <v>0</v>
      </c>
      <c r="AQ156" s="23" t="n">
        <f aca="false">'Qté 2027'!AQ156*$C156</f>
        <v>0</v>
      </c>
      <c r="AR156" s="23" t="n">
        <f aca="false">'Qté 2027'!AR156*$C156</f>
        <v>0</v>
      </c>
      <c r="AS156" s="23" t="n">
        <f aca="false">'Qté 2027'!AS156*$C156</f>
        <v>0</v>
      </c>
      <c r="AT156" s="23" t="n">
        <f aca="false">'Qté 2027'!AT156*$C156</f>
        <v>0</v>
      </c>
      <c r="AU156" s="23" t="n">
        <f aca="false">'Qté 2027'!AU156*$C156</f>
        <v>0</v>
      </c>
      <c r="AV156" s="23" t="n">
        <f aca="false">'Qté 2027'!AV156*$C156</f>
        <v>0</v>
      </c>
      <c r="AW156" s="23" t="n">
        <f aca="false">'Qté 2027'!AW156*$C156</f>
        <v>0</v>
      </c>
      <c r="AX156" s="23" t="n">
        <f aca="false">'Qté 2027'!AX156*$C156</f>
        <v>0</v>
      </c>
      <c r="AY156" s="23" t="n">
        <f aca="false">'Qté 2027'!AY156*$C156</f>
        <v>0</v>
      </c>
      <c r="AZ156" s="23" t="n">
        <f aca="false">'Qté 2027'!AZ156*$C156</f>
        <v>0</v>
      </c>
      <c r="BA156" s="23" t="n">
        <f aca="false">'Qté 2027'!BA156*$C156</f>
        <v>0</v>
      </c>
      <c r="BB156" s="23" t="n">
        <f aca="false">'Qté 2027'!BB156*$C156</f>
        <v>0</v>
      </c>
      <c r="BC156" s="23" t="n">
        <f aca="false">'Qté 2027'!BC156*$C156</f>
        <v>0</v>
      </c>
      <c r="BD156" s="15" t="n">
        <f aca="false">SUM(D156:BC156)</f>
        <v>7.866</v>
      </c>
    </row>
    <row r="157" customFormat="false" ht="15" hidden="false" customHeight="false" outlineLevel="0" collapsed="false">
      <c r="A157" s="5" t="s">
        <v>333</v>
      </c>
      <c r="B157" s="5" t="s">
        <v>69</v>
      </c>
      <c r="C157" s="22" t="n">
        <v>21.82</v>
      </c>
      <c r="D157" s="23" t="n">
        <f aca="false">'Qté 2027'!D157*$C157</f>
        <v>0</v>
      </c>
      <c r="E157" s="23" t="n">
        <f aca="false">'Qté 2027'!E157*$C157</f>
        <v>0</v>
      </c>
      <c r="F157" s="23" t="n">
        <f aca="false">'Qté 2027'!F157*$C157</f>
        <v>0</v>
      </c>
      <c r="G157" s="23" t="n">
        <f aca="false">'Qté 2027'!G157*$C157</f>
        <v>0</v>
      </c>
      <c r="H157" s="23" t="n">
        <f aca="false">'Qté 2027'!H157*$C157</f>
        <v>0</v>
      </c>
      <c r="I157" s="23" t="n">
        <f aca="false">'Qté 2027'!I157*$C157</f>
        <v>0</v>
      </c>
      <c r="J157" s="23" t="n">
        <f aca="false">'Qté 2027'!J157*$C157</f>
        <v>0</v>
      </c>
      <c r="K157" s="23" t="n">
        <f aca="false">'Qté 2027'!K157*$C157</f>
        <v>0</v>
      </c>
      <c r="L157" s="23" t="n">
        <f aca="false">'Qté 2027'!L157*$C157</f>
        <v>0</v>
      </c>
      <c r="M157" s="23" t="n">
        <f aca="false">'Qté 2027'!M157*$C157</f>
        <v>0</v>
      </c>
      <c r="N157" s="23" t="n">
        <f aca="false">'Qté 2027'!N157*$C157</f>
        <v>0</v>
      </c>
      <c r="O157" s="23" t="n">
        <f aca="false">'Qté 2027'!O157*$C157</f>
        <v>0</v>
      </c>
      <c r="P157" s="23" t="n">
        <f aca="false">'Qté 2027'!P157*$C157</f>
        <v>0</v>
      </c>
      <c r="Q157" s="23" t="n">
        <f aca="false">'Qté 2027'!Q157*$C157</f>
        <v>0</v>
      </c>
      <c r="R157" s="23" t="n">
        <f aca="false">'Qté 2027'!R157*$C157</f>
        <v>0</v>
      </c>
      <c r="S157" s="23" t="n">
        <f aca="false">'Qté 2027'!S157*$C157</f>
        <v>0</v>
      </c>
      <c r="T157" s="23" t="n">
        <f aca="false">'Qté 2027'!T157*$C157</f>
        <v>0</v>
      </c>
      <c r="U157" s="23" t="n">
        <f aca="false">'Qté 2027'!U157*$C157</f>
        <v>0</v>
      </c>
      <c r="V157" s="23" t="n">
        <f aca="false">'Qté 2027'!V157*$C157</f>
        <v>0</v>
      </c>
      <c r="W157" s="23" t="n">
        <f aca="false">'Qté 2027'!W157*$C157</f>
        <v>0</v>
      </c>
      <c r="X157" s="23" t="n">
        <f aca="false">'Qté 2027'!X157*$C157</f>
        <v>0</v>
      </c>
      <c r="Y157" s="23" t="n">
        <f aca="false">'Qté 2027'!Y157*$C157</f>
        <v>0</v>
      </c>
      <c r="Z157" s="23" t="n">
        <f aca="false">'Qté 2027'!Z157*$C157</f>
        <v>0</v>
      </c>
      <c r="AA157" s="23" t="n">
        <f aca="false">'Qté 2027'!AA157*$C157</f>
        <v>0</v>
      </c>
      <c r="AB157" s="23" t="n">
        <f aca="false">'Qté 2027'!AB157*$C157</f>
        <v>1.9638</v>
      </c>
      <c r="AC157" s="23" t="n">
        <f aca="false">'Qté 2027'!AC157*$C157</f>
        <v>3.9276</v>
      </c>
      <c r="AD157" s="23" t="n">
        <f aca="false">'Qté 2027'!AD157*$C157</f>
        <v>1.9638</v>
      </c>
      <c r="AE157" s="23" t="n">
        <f aca="false">'Qté 2027'!AE157*$C157</f>
        <v>0</v>
      </c>
      <c r="AF157" s="23" t="n">
        <f aca="false">'Qté 2027'!AF157*$C157</f>
        <v>0</v>
      </c>
      <c r="AG157" s="23" t="n">
        <f aca="false">'Qté 2027'!AG157*$C157</f>
        <v>0</v>
      </c>
      <c r="AH157" s="23" t="n">
        <f aca="false">'Qté 2027'!AH157*$C157</f>
        <v>0</v>
      </c>
      <c r="AI157" s="23" t="n">
        <f aca="false">'Qté 2027'!AI157*$C157</f>
        <v>0</v>
      </c>
      <c r="AJ157" s="23" t="n">
        <f aca="false">'Qté 2027'!AJ157*$C157</f>
        <v>0</v>
      </c>
      <c r="AK157" s="23" t="n">
        <f aca="false">'Qté 2027'!AK157*$C157</f>
        <v>0</v>
      </c>
      <c r="AL157" s="23" t="n">
        <f aca="false">'Qté 2027'!AL157*$C157</f>
        <v>0</v>
      </c>
      <c r="AM157" s="23" t="n">
        <f aca="false">'Qté 2027'!AM157*$C157</f>
        <v>0</v>
      </c>
      <c r="AN157" s="23" t="n">
        <f aca="false">'Qté 2027'!AN157*$C157</f>
        <v>0</v>
      </c>
      <c r="AO157" s="23" t="n">
        <f aca="false">'Qté 2027'!AO157*$C157</f>
        <v>0</v>
      </c>
      <c r="AP157" s="23" t="n">
        <f aca="false">'Qté 2027'!AP157*$C157</f>
        <v>0</v>
      </c>
      <c r="AQ157" s="23" t="n">
        <f aca="false">'Qté 2027'!AQ157*$C157</f>
        <v>0</v>
      </c>
      <c r="AR157" s="23" t="n">
        <f aca="false">'Qté 2027'!AR157*$C157</f>
        <v>0</v>
      </c>
      <c r="AS157" s="23" t="n">
        <f aca="false">'Qté 2027'!AS157*$C157</f>
        <v>0</v>
      </c>
      <c r="AT157" s="23" t="n">
        <f aca="false">'Qté 2027'!AT157*$C157</f>
        <v>0</v>
      </c>
      <c r="AU157" s="23" t="n">
        <f aca="false">'Qté 2027'!AU157*$C157</f>
        <v>0</v>
      </c>
      <c r="AV157" s="23" t="n">
        <f aca="false">'Qté 2027'!AV157*$C157</f>
        <v>0</v>
      </c>
      <c r="AW157" s="23" t="n">
        <f aca="false">'Qté 2027'!AW157*$C157</f>
        <v>0</v>
      </c>
      <c r="AX157" s="23" t="n">
        <f aca="false">'Qté 2027'!AX157*$C157</f>
        <v>0</v>
      </c>
      <c r="AY157" s="23" t="n">
        <f aca="false">'Qté 2027'!AY157*$C157</f>
        <v>0</v>
      </c>
      <c r="AZ157" s="23" t="n">
        <f aca="false">'Qté 2027'!AZ157*$C157</f>
        <v>0</v>
      </c>
      <c r="BA157" s="23" t="n">
        <f aca="false">'Qté 2027'!BA157*$C157</f>
        <v>0</v>
      </c>
      <c r="BB157" s="23" t="n">
        <f aca="false">'Qté 2027'!BB157*$C157</f>
        <v>0</v>
      </c>
      <c r="BC157" s="23" t="n">
        <f aca="false">'Qté 2027'!BC157*$C157</f>
        <v>0</v>
      </c>
      <c r="BD157" s="15" t="n">
        <f aca="false">SUM(D157:BC157)</f>
        <v>7.8552</v>
      </c>
    </row>
    <row r="158" customFormat="false" ht="15" hidden="false" customHeight="false" outlineLevel="0" collapsed="false">
      <c r="A158" s="5" t="s">
        <v>334</v>
      </c>
      <c r="B158" s="5" t="s">
        <v>64</v>
      </c>
      <c r="C158" s="22" t="n">
        <v>2.77</v>
      </c>
      <c r="D158" s="23" t="n">
        <f aca="false">'Qté 2027'!D158*$C158</f>
        <v>0</v>
      </c>
      <c r="E158" s="23" t="n">
        <f aca="false">'Qté 2027'!E158*$C158</f>
        <v>0</v>
      </c>
      <c r="F158" s="23" t="n">
        <f aca="false">'Qté 2027'!F158*$C158</f>
        <v>0</v>
      </c>
      <c r="G158" s="23" t="n">
        <f aca="false">'Qté 2027'!G158*$C158</f>
        <v>0</v>
      </c>
      <c r="H158" s="23" t="n">
        <f aca="false">'Qté 2027'!H158*$C158</f>
        <v>0</v>
      </c>
      <c r="I158" s="23" t="n">
        <f aca="false">'Qté 2027'!I158*$C158</f>
        <v>0</v>
      </c>
      <c r="J158" s="23" t="n">
        <f aca="false">'Qté 2027'!J158*$C158</f>
        <v>0</v>
      </c>
      <c r="K158" s="23" t="n">
        <f aca="false">'Qté 2027'!K158*$C158</f>
        <v>0</v>
      </c>
      <c r="L158" s="23" t="n">
        <f aca="false">'Qté 2027'!L158*$C158</f>
        <v>0</v>
      </c>
      <c r="M158" s="23" t="n">
        <f aca="false">'Qté 2027'!M158*$C158</f>
        <v>0.2493</v>
      </c>
      <c r="N158" s="23" t="n">
        <f aca="false">'Qté 2027'!N158*$C158</f>
        <v>0.4986</v>
      </c>
      <c r="O158" s="23" t="n">
        <f aca="false">'Qté 2027'!O158*$C158</f>
        <v>0.2493</v>
      </c>
      <c r="P158" s="23" t="n">
        <f aca="false">'Qté 2027'!P158*$C158</f>
        <v>0</v>
      </c>
      <c r="Q158" s="23" t="n">
        <f aca="false">'Qté 2027'!Q158*$C158</f>
        <v>0</v>
      </c>
      <c r="R158" s="23" t="n">
        <f aca="false">'Qté 2027'!R158*$C158</f>
        <v>0</v>
      </c>
      <c r="S158" s="23" t="n">
        <f aca="false">'Qté 2027'!S158*$C158</f>
        <v>0</v>
      </c>
      <c r="T158" s="23" t="n">
        <f aca="false">'Qté 2027'!T158*$C158</f>
        <v>0</v>
      </c>
      <c r="U158" s="23" t="n">
        <f aca="false">'Qté 2027'!U158*$C158</f>
        <v>0</v>
      </c>
      <c r="V158" s="23" t="n">
        <f aca="false">'Qté 2027'!V158*$C158</f>
        <v>0.1662</v>
      </c>
      <c r="W158" s="23" t="n">
        <f aca="false">'Qté 2027'!W158*$C158</f>
        <v>0.3047</v>
      </c>
      <c r="X158" s="23" t="n">
        <f aca="false">'Qté 2027'!X158*$C158</f>
        <v>0.6371</v>
      </c>
      <c r="Y158" s="23" t="n">
        <f aca="false">'Qté 2027'!Y158*$C158</f>
        <v>0.9418</v>
      </c>
      <c r="Z158" s="23" t="n">
        <f aca="false">'Qté 2027'!Z158*$C158</f>
        <v>0.9141</v>
      </c>
      <c r="AA158" s="23" t="n">
        <f aca="false">'Qté 2027'!AA158*$C158</f>
        <v>0.8864</v>
      </c>
      <c r="AB158" s="23" t="n">
        <f aca="false">'Qté 2027'!AB158*$C158</f>
        <v>1.0526</v>
      </c>
      <c r="AC158" s="23" t="n">
        <f aca="false">'Qté 2027'!AC158*$C158</f>
        <v>1.2465</v>
      </c>
      <c r="AD158" s="23" t="n">
        <f aca="false">'Qté 2027'!AD158*$C158</f>
        <v>0.6371</v>
      </c>
      <c r="AE158" s="23" t="n">
        <f aca="false">'Qté 2027'!AE158*$C158</f>
        <v>0</v>
      </c>
      <c r="AF158" s="23" t="n">
        <f aca="false">'Qté 2027'!AF158*$C158</f>
        <v>0</v>
      </c>
      <c r="AG158" s="23" t="n">
        <f aca="false">'Qté 2027'!AG158*$C158</f>
        <v>0</v>
      </c>
      <c r="AH158" s="23" t="n">
        <f aca="false">'Qté 2027'!AH158*$C158</f>
        <v>0</v>
      </c>
      <c r="AI158" s="23" t="n">
        <f aca="false">'Qté 2027'!AI158*$C158</f>
        <v>0</v>
      </c>
      <c r="AJ158" s="23" t="n">
        <f aca="false">'Qté 2027'!AJ158*$C158</f>
        <v>0</v>
      </c>
      <c r="AK158" s="23" t="n">
        <f aca="false">'Qté 2027'!AK158*$C158</f>
        <v>0</v>
      </c>
      <c r="AL158" s="23" t="n">
        <f aca="false">'Qté 2027'!AL158*$C158</f>
        <v>0</v>
      </c>
      <c r="AM158" s="23" t="n">
        <f aca="false">'Qté 2027'!AM158*$C158</f>
        <v>0</v>
      </c>
      <c r="AN158" s="23" t="n">
        <f aca="false">'Qté 2027'!AN158*$C158</f>
        <v>0</v>
      </c>
      <c r="AO158" s="23" t="n">
        <f aca="false">'Qté 2027'!AO158*$C158</f>
        <v>0</v>
      </c>
      <c r="AP158" s="23" t="n">
        <f aca="false">'Qté 2027'!AP158*$C158</f>
        <v>0</v>
      </c>
      <c r="AQ158" s="23" t="n">
        <f aca="false">'Qté 2027'!AQ158*$C158</f>
        <v>0</v>
      </c>
      <c r="AR158" s="23" t="n">
        <f aca="false">'Qté 2027'!AR158*$C158</f>
        <v>0</v>
      </c>
      <c r="AS158" s="23" t="n">
        <f aca="false">'Qté 2027'!AS158*$C158</f>
        <v>0</v>
      </c>
      <c r="AT158" s="23" t="n">
        <f aca="false">'Qté 2027'!AT158*$C158</f>
        <v>0</v>
      </c>
      <c r="AU158" s="23" t="n">
        <f aca="false">'Qté 2027'!AU158*$C158</f>
        <v>0</v>
      </c>
      <c r="AV158" s="23" t="n">
        <f aca="false">'Qté 2027'!AV158*$C158</f>
        <v>0</v>
      </c>
      <c r="AW158" s="23" t="n">
        <f aca="false">'Qté 2027'!AW158*$C158</f>
        <v>0</v>
      </c>
      <c r="AX158" s="23" t="n">
        <f aca="false">'Qté 2027'!AX158*$C158</f>
        <v>0</v>
      </c>
      <c r="AY158" s="23" t="n">
        <f aca="false">'Qté 2027'!AY158*$C158</f>
        <v>0</v>
      </c>
      <c r="AZ158" s="23" t="n">
        <f aca="false">'Qté 2027'!AZ158*$C158</f>
        <v>0</v>
      </c>
      <c r="BA158" s="23" t="n">
        <f aca="false">'Qté 2027'!BA158*$C158</f>
        <v>0</v>
      </c>
      <c r="BB158" s="23" t="n">
        <f aca="false">'Qté 2027'!BB158*$C158</f>
        <v>0</v>
      </c>
      <c r="BC158" s="23" t="n">
        <f aca="false">'Qté 2027'!BC158*$C158</f>
        <v>0</v>
      </c>
      <c r="BD158" s="15" t="n">
        <f aca="false">SUM(D158:BC158)</f>
        <v>7.7837</v>
      </c>
    </row>
    <row r="159" customFormat="false" ht="15" hidden="false" customHeight="false" outlineLevel="0" collapsed="false">
      <c r="A159" s="5" t="s">
        <v>335</v>
      </c>
      <c r="B159" s="5" t="s">
        <v>45</v>
      </c>
      <c r="C159" s="22" t="n">
        <v>13.8</v>
      </c>
      <c r="D159" s="23" t="n">
        <f aca="false">'Qté 2027'!D159*$C159</f>
        <v>0</v>
      </c>
      <c r="E159" s="23" t="n">
        <f aca="false">'Qté 2027'!E159*$C159</f>
        <v>0</v>
      </c>
      <c r="F159" s="23" t="n">
        <f aca="false">'Qté 2027'!F159*$C159</f>
        <v>0</v>
      </c>
      <c r="G159" s="23" t="n">
        <f aca="false">'Qté 2027'!G159*$C159</f>
        <v>0</v>
      </c>
      <c r="H159" s="23" t="n">
        <f aca="false">'Qté 2027'!H159*$C159</f>
        <v>0</v>
      </c>
      <c r="I159" s="23" t="n">
        <f aca="false">'Qté 2027'!I159*$C159</f>
        <v>0</v>
      </c>
      <c r="J159" s="23" t="n">
        <f aca="false">'Qté 2027'!J159*$C159</f>
        <v>0</v>
      </c>
      <c r="K159" s="23" t="n">
        <f aca="false">'Qté 2027'!K159*$C159</f>
        <v>0</v>
      </c>
      <c r="L159" s="23" t="n">
        <f aca="false">'Qté 2027'!L159*$C159</f>
        <v>0</v>
      </c>
      <c r="M159" s="23" t="n">
        <f aca="false">'Qté 2027'!M159*$C159</f>
        <v>0</v>
      </c>
      <c r="N159" s="23" t="n">
        <f aca="false">'Qté 2027'!N159*$C159</f>
        <v>0</v>
      </c>
      <c r="O159" s="23" t="n">
        <f aca="false">'Qté 2027'!O159*$C159</f>
        <v>0</v>
      </c>
      <c r="P159" s="23" t="n">
        <f aca="false">'Qté 2027'!P159*$C159</f>
        <v>0</v>
      </c>
      <c r="Q159" s="23" t="n">
        <f aca="false">'Qté 2027'!Q159*$C159</f>
        <v>0</v>
      </c>
      <c r="R159" s="23" t="n">
        <f aca="false">'Qté 2027'!R159*$C159</f>
        <v>0</v>
      </c>
      <c r="S159" s="23" t="n">
        <f aca="false">'Qté 2027'!S159*$C159</f>
        <v>0</v>
      </c>
      <c r="T159" s="23" t="n">
        <f aca="false">'Qté 2027'!T159*$C159</f>
        <v>0</v>
      </c>
      <c r="U159" s="23" t="n">
        <f aca="false">'Qté 2027'!U159*$C159</f>
        <v>0</v>
      </c>
      <c r="V159" s="23" t="n">
        <f aca="false">'Qté 2027'!V159*$C159</f>
        <v>0.828</v>
      </c>
      <c r="W159" s="23" t="n">
        <f aca="false">'Qté 2027'!W159*$C159</f>
        <v>1.518</v>
      </c>
      <c r="X159" s="23" t="n">
        <f aca="false">'Qté 2027'!X159*$C159</f>
        <v>0.828</v>
      </c>
      <c r="Y159" s="23" t="n">
        <f aca="false">'Qté 2027'!Y159*$C159</f>
        <v>0</v>
      </c>
      <c r="Z159" s="23" t="n">
        <f aca="false">'Qté 2027'!Z159*$C159</f>
        <v>0</v>
      </c>
      <c r="AA159" s="23" t="n">
        <f aca="false">'Qté 2027'!AA159*$C159</f>
        <v>0</v>
      </c>
      <c r="AB159" s="23" t="n">
        <f aca="false">'Qté 2027'!AB159*$C159</f>
        <v>0</v>
      </c>
      <c r="AC159" s="23" t="n">
        <f aca="false">'Qté 2027'!AC159*$C159</f>
        <v>0</v>
      </c>
      <c r="AD159" s="23" t="n">
        <f aca="false">'Qté 2027'!AD159*$C159</f>
        <v>0</v>
      </c>
      <c r="AE159" s="23" t="n">
        <f aca="false">'Qté 2027'!AE159*$C159</f>
        <v>0</v>
      </c>
      <c r="AF159" s="23" t="n">
        <f aca="false">'Qté 2027'!AF159*$C159</f>
        <v>0</v>
      </c>
      <c r="AG159" s="23" t="n">
        <f aca="false">'Qté 2027'!AG159*$C159</f>
        <v>0</v>
      </c>
      <c r="AH159" s="23" t="n">
        <f aca="false">'Qté 2027'!AH159*$C159</f>
        <v>0</v>
      </c>
      <c r="AI159" s="23" t="n">
        <f aca="false">'Qté 2027'!AI159*$C159</f>
        <v>0</v>
      </c>
      <c r="AJ159" s="23" t="n">
        <f aca="false">'Qté 2027'!AJ159*$C159</f>
        <v>0</v>
      </c>
      <c r="AK159" s="23" t="n">
        <f aca="false">'Qté 2027'!AK159*$C159</f>
        <v>0</v>
      </c>
      <c r="AL159" s="23" t="n">
        <f aca="false">'Qté 2027'!AL159*$C159</f>
        <v>0</v>
      </c>
      <c r="AM159" s="23" t="n">
        <f aca="false">'Qté 2027'!AM159*$C159</f>
        <v>0</v>
      </c>
      <c r="AN159" s="23" t="n">
        <f aca="false">'Qté 2027'!AN159*$C159</f>
        <v>0</v>
      </c>
      <c r="AO159" s="23" t="n">
        <f aca="false">'Qté 2027'!AO159*$C159</f>
        <v>0</v>
      </c>
      <c r="AP159" s="23" t="n">
        <f aca="false">'Qté 2027'!AP159*$C159</f>
        <v>0</v>
      </c>
      <c r="AQ159" s="23" t="n">
        <f aca="false">'Qté 2027'!AQ159*$C159</f>
        <v>0</v>
      </c>
      <c r="AR159" s="23" t="n">
        <f aca="false">'Qté 2027'!AR159*$C159</f>
        <v>0</v>
      </c>
      <c r="AS159" s="23" t="n">
        <f aca="false">'Qté 2027'!AS159*$C159</f>
        <v>1.104</v>
      </c>
      <c r="AT159" s="23" t="n">
        <f aca="false">'Qté 2027'!AT159*$C159</f>
        <v>2.346</v>
      </c>
      <c r="AU159" s="23" t="n">
        <f aca="false">'Qté 2027'!AU159*$C159</f>
        <v>1.104</v>
      </c>
      <c r="AV159" s="23" t="n">
        <f aca="false">'Qté 2027'!AV159*$C159</f>
        <v>0</v>
      </c>
      <c r="AW159" s="23" t="n">
        <f aca="false">'Qté 2027'!AW159*$C159</f>
        <v>0</v>
      </c>
      <c r="AX159" s="23" t="n">
        <f aca="false">'Qté 2027'!AX159*$C159</f>
        <v>0</v>
      </c>
      <c r="AY159" s="23" t="n">
        <f aca="false">'Qté 2027'!AY159*$C159</f>
        <v>0</v>
      </c>
      <c r="AZ159" s="23" t="n">
        <f aca="false">'Qté 2027'!AZ159*$C159</f>
        <v>0</v>
      </c>
      <c r="BA159" s="23" t="n">
        <f aca="false">'Qté 2027'!BA159*$C159</f>
        <v>0</v>
      </c>
      <c r="BB159" s="23" t="n">
        <f aca="false">'Qté 2027'!BB159*$C159</f>
        <v>0</v>
      </c>
      <c r="BC159" s="23" t="n">
        <f aca="false">'Qté 2027'!BC159*$C159</f>
        <v>0</v>
      </c>
      <c r="BD159" s="15" t="n">
        <f aca="false">SUM(D159:BC159)</f>
        <v>7.728</v>
      </c>
    </row>
    <row r="160" customFormat="false" ht="15" hidden="false" customHeight="false" outlineLevel="0" collapsed="false">
      <c r="A160" s="5" t="s">
        <v>336</v>
      </c>
      <c r="B160" s="5" t="s">
        <v>42</v>
      </c>
      <c r="C160" s="22" t="n">
        <v>9.24</v>
      </c>
      <c r="D160" s="23" t="n">
        <f aca="false">'Qté 2027'!D160*$C160</f>
        <v>0</v>
      </c>
      <c r="E160" s="23" t="n">
        <f aca="false">'Qté 2027'!E160*$C160</f>
        <v>0</v>
      </c>
      <c r="F160" s="23" t="n">
        <f aca="false">'Qté 2027'!F160*$C160</f>
        <v>0</v>
      </c>
      <c r="G160" s="23" t="n">
        <f aca="false">'Qté 2027'!G160*$C160</f>
        <v>0</v>
      </c>
      <c r="H160" s="23" t="n">
        <f aca="false">'Qté 2027'!H160*$C160</f>
        <v>0</v>
      </c>
      <c r="I160" s="23" t="n">
        <f aca="false">'Qté 2027'!I160*$C160</f>
        <v>0</v>
      </c>
      <c r="J160" s="23" t="n">
        <f aca="false">'Qté 2027'!J160*$C160</f>
        <v>0</v>
      </c>
      <c r="K160" s="23" t="n">
        <f aca="false">'Qté 2027'!K160*$C160</f>
        <v>0</v>
      </c>
      <c r="L160" s="23" t="n">
        <f aca="false">'Qté 2027'!L160*$C160</f>
        <v>0</v>
      </c>
      <c r="M160" s="23" t="n">
        <f aca="false">'Qté 2027'!M160*$C160</f>
        <v>0</v>
      </c>
      <c r="N160" s="23" t="n">
        <f aca="false">'Qté 2027'!N160*$C160</f>
        <v>0</v>
      </c>
      <c r="O160" s="23" t="n">
        <f aca="false">'Qté 2027'!O160*$C160</f>
        <v>0</v>
      </c>
      <c r="P160" s="23" t="n">
        <f aca="false">'Qté 2027'!P160*$C160</f>
        <v>0</v>
      </c>
      <c r="Q160" s="23" t="n">
        <f aca="false">'Qté 2027'!Q160*$C160</f>
        <v>0</v>
      </c>
      <c r="R160" s="23" t="n">
        <f aca="false">'Qté 2027'!R160*$C160</f>
        <v>0</v>
      </c>
      <c r="S160" s="23" t="n">
        <f aca="false">'Qté 2027'!S160*$C160</f>
        <v>0</v>
      </c>
      <c r="T160" s="23" t="n">
        <f aca="false">'Qté 2027'!T160*$C160</f>
        <v>0</v>
      </c>
      <c r="U160" s="23" t="n">
        <f aca="false">'Qté 2027'!U160*$C160</f>
        <v>0</v>
      </c>
      <c r="V160" s="23" t="n">
        <f aca="false">'Qté 2027'!V160*$C160</f>
        <v>0</v>
      </c>
      <c r="W160" s="23" t="n">
        <f aca="false">'Qté 2027'!W160*$C160</f>
        <v>0</v>
      </c>
      <c r="X160" s="23" t="n">
        <f aca="false">'Qté 2027'!X160*$C160</f>
        <v>0</v>
      </c>
      <c r="Y160" s="23" t="n">
        <f aca="false">'Qté 2027'!Y160*$C160</f>
        <v>0</v>
      </c>
      <c r="Z160" s="23" t="n">
        <f aca="false">'Qté 2027'!Z160*$C160</f>
        <v>0</v>
      </c>
      <c r="AA160" s="23" t="n">
        <f aca="false">'Qté 2027'!AA160*$C160</f>
        <v>0</v>
      </c>
      <c r="AB160" s="23" t="n">
        <f aca="false">'Qté 2027'!AB160*$C160</f>
        <v>0</v>
      </c>
      <c r="AC160" s="23" t="n">
        <f aca="false">'Qté 2027'!AC160*$C160</f>
        <v>0.7392</v>
      </c>
      <c r="AD160" s="23" t="n">
        <f aca="false">'Qté 2027'!AD160*$C160</f>
        <v>1.4784</v>
      </c>
      <c r="AE160" s="23" t="n">
        <f aca="false">'Qté 2027'!AE160*$C160</f>
        <v>0.7392</v>
      </c>
      <c r="AF160" s="23" t="n">
        <f aca="false">'Qté 2027'!AF160*$C160</f>
        <v>0</v>
      </c>
      <c r="AG160" s="23" t="n">
        <f aca="false">'Qté 2027'!AG160*$C160</f>
        <v>0</v>
      </c>
      <c r="AH160" s="23" t="n">
        <f aca="false">'Qté 2027'!AH160*$C160</f>
        <v>0</v>
      </c>
      <c r="AI160" s="23" t="n">
        <f aca="false">'Qté 2027'!AI160*$C160</f>
        <v>1.1088</v>
      </c>
      <c r="AJ160" s="23" t="n">
        <f aca="false">'Qté 2027'!AJ160*$C160</f>
        <v>2.1252</v>
      </c>
      <c r="AK160" s="23" t="n">
        <f aca="false">'Qté 2027'!AK160*$C160</f>
        <v>1.1088</v>
      </c>
      <c r="AL160" s="23" t="n">
        <f aca="false">'Qté 2027'!AL160*$C160</f>
        <v>0</v>
      </c>
      <c r="AM160" s="23" t="n">
        <f aca="false">'Qté 2027'!AM160*$C160</f>
        <v>0</v>
      </c>
      <c r="AN160" s="23" t="n">
        <f aca="false">'Qté 2027'!AN160*$C160</f>
        <v>0</v>
      </c>
      <c r="AO160" s="23" t="n">
        <f aca="false">'Qté 2027'!AO160*$C160</f>
        <v>0</v>
      </c>
      <c r="AP160" s="23" t="n">
        <f aca="false">'Qté 2027'!AP160*$C160</f>
        <v>0</v>
      </c>
      <c r="AQ160" s="23" t="n">
        <f aca="false">'Qté 2027'!AQ160*$C160</f>
        <v>0</v>
      </c>
      <c r="AR160" s="23" t="n">
        <f aca="false">'Qté 2027'!AR160*$C160</f>
        <v>0</v>
      </c>
      <c r="AS160" s="23" t="n">
        <f aca="false">'Qté 2027'!AS160*$C160</f>
        <v>0</v>
      </c>
      <c r="AT160" s="23" t="n">
        <f aca="false">'Qté 2027'!AT160*$C160</f>
        <v>0</v>
      </c>
      <c r="AU160" s="23" t="n">
        <f aca="false">'Qté 2027'!AU160*$C160</f>
        <v>0</v>
      </c>
      <c r="AV160" s="23" t="n">
        <f aca="false">'Qté 2027'!AV160*$C160</f>
        <v>0</v>
      </c>
      <c r="AW160" s="23" t="n">
        <f aca="false">'Qté 2027'!AW160*$C160</f>
        <v>0</v>
      </c>
      <c r="AX160" s="23" t="n">
        <f aca="false">'Qté 2027'!AX160*$C160</f>
        <v>0</v>
      </c>
      <c r="AY160" s="23" t="n">
        <f aca="false">'Qté 2027'!AY160*$C160</f>
        <v>0</v>
      </c>
      <c r="AZ160" s="23" t="n">
        <f aca="false">'Qté 2027'!AZ160*$C160</f>
        <v>0</v>
      </c>
      <c r="BA160" s="23" t="n">
        <f aca="false">'Qté 2027'!BA160*$C160</f>
        <v>0</v>
      </c>
      <c r="BB160" s="23" t="n">
        <f aca="false">'Qté 2027'!BB160*$C160</f>
        <v>0</v>
      </c>
      <c r="BC160" s="23" t="n">
        <f aca="false">'Qté 2027'!BC160*$C160</f>
        <v>0</v>
      </c>
      <c r="BD160" s="15" t="n">
        <f aca="false">SUM(D160:BC160)</f>
        <v>7.2996</v>
      </c>
    </row>
    <row r="161" customFormat="false" ht="15" hidden="false" customHeight="false" outlineLevel="0" collapsed="false">
      <c r="A161" s="5" t="s">
        <v>337</v>
      </c>
      <c r="B161" s="5" t="s">
        <v>64</v>
      </c>
      <c r="C161" s="22" t="n">
        <v>7.2</v>
      </c>
      <c r="D161" s="23" t="n">
        <f aca="false">'Qté 2027'!D161*$C161</f>
        <v>0</v>
      </c>
      <c r="E161" s="23" t="n">
        <f aca="false">'Qté 2027'!E161*$C161</f>
        <v>0</v>
      </c>
      <c r="F161" s="23" t="n">
        <f aca="false">'Qté 2027'!F161*$C161</f>
        <v>0</v>
      </c>
      <c r="G161" s="23" t="n">
        <f aca="false">'Qté 2027'!G161*$C161</f>
        <v>0.36</v>
      </c>
      <c r="H161" s="23" t="n">
        <f aca="false">'Qté 2027'!H161*$C161</f>
        <v>0.648</v>
      </c>
      <c r="I161" s="23" t="n">
        <f aca="false">'Qté 2027'!I161*$C161</f>
        <v>0.36</v>
      </c>
      <c r="J161" s="23" t="n">
        <f aca="false">'Qté 2027'!J161*$C161</f>
        <v>0</v>
      </c>
      <c r="K161" s="23" t="n">
        <f aca="false">'Qté 2027'!K161*$C161</f>
        <v>0</v>
      </c>
      <c r="L161" s="23" t="n">
        <f aca="false">'Qté 2027'!L161*$C161</f>
        <v>0</v>
      </c>
      <c r="M161" s="23" t="n">
        <f aca="false">'Qté 2027'!M161*$C161</f>
        <v>0</v>
      </c>
      <c r="N161" s="23" t="n">
        <f aca="false">'Qté 2027'!N161*$C161</f>
        <v>0</v>
      </c>
      <c r="O161" s="23" t="n">
        <f aca="false">'Qté 2027'!O161*$C161</f>
        <v>0</v>
      </c>
      <c r="P161" s="23" t="n">
        <f aca="false">'Qté 2027'!P161*$C161</f>
        <v>0</v>
      </c>
      <c r="Q161" s="23" t="n">
        <f aca="false">'Qté 2027'!Q161*$C161</f>
        <v>0</v>
      </c>
      <c r="R161" s="23" t="n">
        <f aca="false">'Qté 2027'!R161*$C161</f>
        <v>0</v>
      </c>
      <c r="S161" s="23" t="n">
        <f aca="false">'Qté 2027'!S161*$C161</f>
        <v>0</v>
      </c>
      <c r="T161" s="23" t="n">
        <f aca="false">'Qté 2027'!T161*$C161</f>
        <v>0</v>
      </c>
      <c r="U161" s="23" t="n">
        <f aca="false">'Qté 2027'!U161*$C161</f>
        <v>0</v>
      </c>
      <c r="V161" s="23" t="n">
        <f aca="false">'Qté 2027'!V161*$C161</f>
        <v>0</v>
      </c>
      <c r="W161" s="23" t="n">
        <f aca="false">'Qté 2027'!W161*$C161</f>
        <v>0</v>
      </c>
      <c r="X161" s="23" t="n">
        <f aca="false">'Qté 2027'!X161*$C161</f>
        <v>0</v>
      </c>
      <c r="Y161" s="23" t="n">
        <f aca="false">'Qté 2027'!Y161*$C161</f>
        <v>0</v>
      </c>
      <c r="Z161" s="23" t="n">
        <f aca="false">'Qté 2027'!Z161*$C161</f>
        <v>1.152</v>
      </c>
      <c r="AA161" s="23" t="n">
        <f aca="false">'Qté 2027'!AA161*$C161</f>
        <v>2.592</v>
      </c>
      <c r="AB161" s="23" t="n">
        <f aca="false">'Qté 2027'!AB161*$C161</f>
        <v>1.8</v>
      </c>
      <c r="AC161" s="23" t="n">
        <f aca="false">'Qté 2027'!AC161*$C161</f>
        <v>0.36</v>
      </c>
      <c r="AD161" s="23" t="n">
        <f aca="false">'Qté 2027'!AD161*$C161</f>
        <v>0</v>
      </c>
      <c r="AE161" s="23" t="n">
        <f aca="false">'Qté 2027'!AE161*$C161</f>
        <v>0</v>
      </c>
      <c r="AF161" s="23" t="n">
        <f aca="false">'Qté 2027'!AF161*$C161</f>
        <v>0</v>
      </c>
      <c r="AG161" s="23" t="n">
        <f aca="false">'Qté 2027'!AG161*$C161</f>
        <v>0</v>
      </c>
      <c r="AH161" s="23" t="n">
        <f aca="false">'Qté 2027'!AH161*$C161</f>
        <v>0</v>
      </c>
      <c r="AI161" s="23" t="n">
        <f aca="false">'Qté 2027'!AI161*$C161</f>
        <v>0</v>
      </c>
      <c r="AJ161" s="23" t="n">
        <f aca="false">'Qté 2027'!AJ161*$C161</f>
        <v>0</v>
      </c>
      <c r="AK161" s="23" t="n">
        <f aca="false">'Qté 2027'!AK161*$C161</f>
        <v>0</v>
      </c>
      <c r="AL161" s="23" t="n">
        <f aca="false">'Qté 2027'!AL161*$C161</f>
        <v>0</v>
      </c>
      <c r="AM161" s="23" t="n">
        <f aca="false">'Qté 2027'!AM161*$C161</f>
        <v>0</v>
      </c>
      <c r="AN161" s="23" t="n">
        <f aca="false">'Qté 2027'!AN161*$C161</f>
        <v>0</v>
      </c>
      <c r="AO161" s="23" t="n">
        <f aca="false">'Qté 2027'!AO161*$C161</f>
        <v>0</v>
      </c>
      <c r="AP161" s="23" t="n">
        <f aca="false">'Qté 2027'!AP161*$C161</f>
        <v>0</v>
      </c>
      <c r="AQ161" s="23" t="n">
        <f aca="false">'Qté 2027'!AQ161*$C161</f>
        <v>0</v>
      </c>
      <c r="AR161" s="23" t="n">
        <f aca="false">'Qté 2027'!AR161*$C161</f>
        <v>0</v>
      </c>
      <c r="AS161" s="23" t="n">
        <f aca="false">'Qté 2027'!AS161*$C161</f>
        <v>0</v>
      </c>
      <c r="AT161" s="23" t="n">
        <f aca="false">'Qté 2027'!AT161*$C161</f>
        <v>0</v>
      </c>
      <c r="AU161" s="23" t="n">
        <f aca="false">'Qté 2027'!AU161*$C161</f>
        <v>0</v>
      </c>
      <c r="AV161" s="23" t="n">
        <f aca="false">'Qté 2027'!AV161*$C161</f>
        <v>0</v>
      </c>
      <c r="AW161" s="23" t="n">
        <f aca="false">'Qté 2027'!AW161*$C161</f>
        <v>0</v>
      </c>
      <c r="AX161" s="23" t="n">
        <f aca="false">'Qté 2027'!AX161*$C161</f>
        <v>0</v>
      </c>
      <c r="AY161" s="23" t="n">
        <f aca="false">'Qté 2027'!AY161*$C161</f>
        <v>0</v>
      </c>
      <c r="AZ161" s="23" t="n">
        <f aca="false">'Qté 2027'!AZ161*$C161</f>
        <v>0</v>
      </c>
      <c r="BA161" s="23" t="n">
        <f aca="false">'Qté 2027'!BA161*$C161</f>
        <v>0</v>
      </c>
      <c r="BB161" s="23" t="n">
        <f aca="false">'Qté 2027'!BB161*$C161</f>
        <v>0</v>
      </c>
      <c r="BC161" s="23" t="n">
        <f aca="false">'Qté 2027'!BC161*$C161</f>
        <v>0</v>
      </c>
      <c r="BD161" s="15" t="n">
        <f aca="false">SUM(D161:BC161)</f>
        <v>7.272</v>
      </c>
    </row>
    <row r="162" customFormat="false" ht="15" hidden="false" customHeight="false" outlineLevel="0" collapsed="false">
      <c r="A162" s="5" t="s">
        <v>338</v>
      </c>
      <c r="B162" s="5" t="s">
        <v>57</v>
      </c>
      <c r="C162" s="22" t="n">
        <v>10</v>
      </c>
      <c r="D162" s="23" t="n">
        <f aca="false">'Qté 2027'!D162*$C162</f>
        <v>0</v>
      </c>
      <c r="E162" s="23" t="n">
        <f aca="false">'Qté 2027'!E162*$C162</f>
        <v>0</v>
      </c>
      <c r="F162" s="23" t="n">
        <f aca="false">'Qté 2027'!F162*$C162</f>
        <v>0</v>
      </c>
      <c r="G162" s="23" t="n">
        <f aca="false">'Qté 2027'!G162*$C162</f>
        <v>0</v>
      </c>
      <c r="H162" s="23" t="n">
        <f aca="false">'Qté 2027'!H162*$C162</f>
        <v>0</v>
      </c>
      <c r="I162" s="23" t="n">
        <f aca="false">'Qté 2027'!I162*$C162</f>
        <v>0</v>
      </c>
      <c r="J162" s="23" t="n">
        <f aca="false">'Qté 2027'!J162*$C162</f>
        <v>0</v>
      </c>
      <c r="K162" s="23" t="n">
        <f aca="false">'Qté 2027'!K162*$C162</f>
        <v>0</v>
      </c>
      <c r="L162" s="23" t="n">
        <f aca="false">'Qté 2027'!L162*$C162</f>
        <v>0</v>
      </c>
      <c r="M162" s="23" t="n">
        <f aca="false">'Qté 2027'!M162*$C162</f>
        <v>0</v>
      </c>
      <c r="N162" s="23" t="n">
        <f aca="false">'Qté 2027'!N162*$C162</f>
        <v>0</v>
      </c>
      <c r="O162" s="23" t="n">
        <f aca="false">'Qté 2027'!O162*$C162</f>
        <v>0</v>
      </c>
      <c r="P162" s="23" t="n">
        <f aca="false">'Qté 2027'!P162*$C162</f>
        <v>0</v>
      </c>
      <c r="Q162" s="23" t="n">
        <f aca="false">'Qté 2027'!Q162*$C162</f>
        <v>0</v>
      </c>
      <c r="R162" s="23" t="n">
        <f aca="false">'Qté 2027'!R162*$C162</f>
        <v>0</v>
      </c>
      <c r="S162" s="23" t="n">
        <f aca="false">'Qté 2027'!S162*$C162</f>
        <v>0</v>
      </c>
      <c r="T162" s="23" t="n">
        <f aca="false">'Qté 2027'!T162*$C162</f>
        <v>0</v>
      </c>
      <c r="U162" s="23" t="n">
        <f aca="false">'Qté 2027'!U162*$C162</f>
        <v>0</v>
      </c>
      <c r="V162" s="23" t="n">
        <f aca="false">'Qté 2027'!V162*$C162</f>
        <v>0</v>
      </c>
      <c r="W162" s="23" t="n">
        <f aca="false">'Qté 2027'!W162*$C162</f>
        <v>0</v>
      </c>
      <c r="X162" s="23" t="n">
        <f aca="false">'Qté 2027'!X162*$C162</f>
        <v>1.8</v>
      </c>
      <c r="Y162" s="23" t="n">
        <f aca="false">'Qté 2027'!Y162*$C162</f>
        <v>3.6</v>
      </c>
      <c r="Z162" s="23" t="n">
        <f aca="false">'Qté 2027'!Z162*$C162</f>
        <v>1.8</v>
      </c>
      <c r="AA162" s="23" t="n">
        <f aca="false">'Qté 2027'!AA162*$C162</f>
        <v>0</v>
      </c>
      <c r="AB162" s="23" t="n">
        <f aca="false">'Qté 2027'!AB162*$C162</f>
        <v>0</v>
      </c>
      <c r="AC162" s="23" t="n">
        <f aca="false">'Qté 2027'!AC162*$C162</f>
        <v>0</v>
      </c>
      <c r="AD162" s="23" t="n">
        <f aca="false">'Qté 2027'!AD162*$C162</f>
        <v>0</v>
      </c>
      <c r="AE162" s="23" t="n">
        <f aca="false">'Qté 2027'!AE162*$C162</f>
        <v>0</v>
      </c>
      <c r="AF162" s="23" t="n">
        <f aca="false">'Qté 2027'!AF162*$C162</f>
        <v>0</v>
      </c>
      <c r="AG162" s="23" t="n">
        <f aca="false">'Qté 2027'!AG162*$C162</f>
        <v>0</v>
      </c>
      <c r="AH162" s="23" t="n">
        <f aca="false">'Qté 2027'!AH162*$C162</f>
        <v>0</v>
      </c>
      <c r="AI162" s="23" t="n">
        <f aca="false">'Qté 2027'!AI162*$C162</f>
        <v>0</v>
      </c>
      <c r="AJ162" s="23" t="n">
        <f aca="false">'Qté 2027'!AJ162*$C162</f>
        <v>0</v>
      </c>
      <c r="AK162" s="23" t="n">
        <f aca="false">'Qté 2027'!AK162*$C162</f>
        <v>0</v>
      </c>
      <c r="AL162" s="23" t="n">
        <f aca="false">'Qté 2027'!AL162*$C162</f>
        <v>0</v>
      </c>
      <c r="AM162" s="23" t="n">
        <f aca="false">'Qté 2027'!AM162*$C162</f>
        <v>0</v>
      </c>
      <c r="AN162" s="23" t="n">
        <f aca="false">'Qté 2027'!AN162*$C162</f>
        <v>0</v>
      </c>
      <c r="AO162" s="23" t="n">
        <f aca="false">'Qté 2027'!AO162*$C162</f>
        <v>0</v>
      </c>
      <c r="AP162" s="23" t="n">
        <f aca="false">'Qté 2027'!AP162*$C162</f>
        <v>0</v>
      </c>
      <c r="AQ162" s="23" t="n">
        <f aca="false">'Qté 2027'!AQ162*$C162</f>
        <v>0</v>
      </c>
      <c r="AR162" s="23" t="n">
        <f aca="false">'Qté 2027'!AR162*$C162</f>
        <v>0</v>
      </c>
      <c r="AS162" s="23" t="n">
        <f aca="false">'Qté 2027'!AS162*$C162</f>
        <v>0</v>
      </c>
      <c r="AT162" s="23" t="n">
        <f aca="false">'Qté 2027'!AT162*$C162</f>
        <v>0</v>
      </c>
      <c r="AU162" s="23" t="n">
        <f aca="false">'Qté 2027'!AU162*$C162</f>
        <v>0</v>
      </c>
      <c r="AV162" s="23" t="n">
        <f aca="false">'Qté 2027'!AV162*$C162</f>
        <v>0</v>
      </c>
      <c r="AW162" s="23" t="n">
        <f aca="false">'Qté 2027'!AW162*$C162</f>
        <v>0</v>
      </c>
      <c r="AX162" s="23" t="n">
        <f aca="false">'Qté 2027'!AX162*$C162</f>
        <v>0</v>
      </c>
      <c r="AY162" s="23" t="n">
        <f aca="false">'Qté 2027'!AY162*$C162</f>
        <v>0</v>
      </c>
      <c r="AZ162" s="23" t="n">
        <f aca="false">'Qté 2027'!AZ162*$C162</f>
        <v>0</v>
      </c>
      <c r="BA162" s="23" t="n">
        <f aca="false">'Qté 2027'!BA162*$C162</f>
        <v>0</v>
      </c>
      <c r="BB162" s="23" t="n">
        <f aca="false">'Qté 2027'!BB162*$C162</f>
        <v>0</v>
      </c>
      <c r="BC162" s="23" t="n">
        <f aca="false">'Qté 2027'!BC162*$C162</f>
        <v>0</v>
      </c>
      <c r="BD162" s="15" t="n">
        <f aca="false">SUM(D162:BC162)</f>
        <v>7.2</v>
      </c>
    </row>
    <row r="163" customFormat="false" ht="15" hidden="false" customHeight="false" outlineLevel="0" collapsed="false">
      <c r="A163" s="5" t="s">
        <v>339</v>
      </c>
      <c r="B163" s="5" t="s">
        <v>69</v>
      </c>
      <c r="C163" s="22" t="n">
        <v>9.99</v>
      </c>
      <c r="D163" s="23" t="n">
        <f aca="false">'Qté 2027'!D163*$C163</f>
        <v>0</v>
      </c>
      <c r="E163" s="23" t="n">
        <f aca="false">'Qté 2027'!E163*$C163</f>
        <v>0</v>
      </c>
      <c r="F163" s="23" t="n">
        <f aca="false">'Qté 2027'!F163*$C163</f>
        <v>0</v>
      </c>
      <c r="G163" s="23" t="n">
        <f aca="false">'Qté 2027'!G163*$C163</f>
        <v>0</v>
      </c>
      <c r="H163" s="23" t="n">
        <f aca="false">'Qté 2027'!H163*$C163</f>
        <v>0</v>
      </c>
      <c r="I163" s="23" t="n">
        <f aca="false">'Qté 2027'!I163*$C163</f>
        <v>0</v>
      </c>
      <c r="J163" s="23" t="n">
        <f aca="false">'Qté 2027'!J163*$C163</f>
        <v>0</v>
      </c>
      <c r="K163" s="23" t="n">
        <f aca="false">'Qté 2027'!K163*$C163</f>
        <v>0</v>
      </c>
      <c r="L163" s="23" t="n">
        <f aca="false">'Qté 2027'!L163*$C163</f>
        <v>0</v>
      </c>
      <c r="M163" s="23" t="n">
        <f aca="false">'Qté 2027'!M163*$C163</f>
        <v>0</v>
      </c>
      <c r="N163" s="23" t="n">
        <f aca="false">'Qté 2027'!N163*$C163</f>
        <v>0</v>
      </c>
      <c r="O163" s="23" t="n">
        <f aca="false">'Qté 2027'!O163*$C163</f>
        <v>0</v>
      </c>
      <c r="P163" s="23" t="n">
        <f aca="false">'Qté 2027'!P163*$C163</f>
        <v>0</v>
      </c>
      <c r="Q163" s="23" t="n">
        <f aca="false">'Qté 2027'!Q163*$C163</f>
        <v>0</v>
      </c>
      <c r="R163" s="23" t="n">
        <f aca="false">'Qté 2027'!R163*$C163</f>
        <v>0</v>
      </c>
      <c r="S163" s="23" t="n">
        <f aca="false">'Qté 2027'!S163*$C163</f>
        <v>0</v>
      </c>
      <c r="T163" s="23" t="n">
        <f aca="false">'Qté 2027'!T163*$C163</f>
        <v>0</v>
      </c>
      <c r="U163" s="23" t="n">
        <f aca="false">'Qté 2027'!U163*$C163</f>
        <v>0</v>
      </c>
      <c r="V163" s="23" t="n">
        <f aca="false">'Qté 2027'!V163*$C163</f>
        <v>0</v>
      </c>
      <c r="W163" s="23" t="n">
        <f aca="false">'Qté 2027'!W163*$C163</f>
        <v>0</v>
      </c>
      <c r="X163" s="23" t="n">
        <f aca="false">'Qté 2027'!X163*$C163</f>
        <v>0</v>
      </c>
      <c r="Y163" s="23" t="n">
        <f aca="false">'Qté 2027'!Y163*$C163</f>
        <v>0</v>
      </c>
      <c r="Z163" s="23" t="n">
        <f aca="false">'Qté 2027'!Z163*$C163</f>
        <v>1.7982</v>
      </c>
      <c r="AA163" s="23" t="n">
        <f aca="false">'Qté 2027'!AA163*$C163</f>
        <v>3.5964</v>
      </c>
      <c r="AB163" s="23" t="n">
        <f aca="false">'Qté 2027'!AB163*$C163</f>
        <v>1.7982</v>
      </c>
      <c r="AC163" s="23" t="n">
        <f aca="false">'Qté 2027'!AC163*$C163</f>
        <v>0</v>
      </c>
      <c r="AD163" s="23" t="n">
        <f aca="false">'Qté 2027'!AD163*$C163</f>
        <v>0</v>
      </c>
      <c r="AE163" s="23" t="n">
        <f aca="false">'Qté 2027'!AE163*$C163</f>
        <v>0</v>
      </c>
      <c r="AF163" s="23" t="n">
        <f aca="false">'Qté 2027'!AF163*$C163</f>
        <v>0</v>
      </c>
      <c r="AG163" s="23" t="n">
        <f aca="false">'Qté 2027'!AG163*$C163</f>
        <v>0</v>
      </c>
      <c r="AH163" s="23" t="n">
        <f aca="false">'Qté 2027'!AH163*$C163</f>
        <v>0</v>
      </c>
      <c r="AI163" s="23" t="n">
        <f aca="false">'Qté 2027'!AI163*$C163</f>
        <v>0</v>
      </c>
      <c r="AJ163" s="23" t="n">
        <f aca="false">'Qté 2027'!AJ163*$C163</f>
        <v>0</v>
      </c>
      <c r="AK163" s="23" t="n">
        <f aca="false">'Qté 2027'!AK163*$C163</f>
        <v>0</v>
      </c>
      <c r="AL163" s="23" t="n">
        <f aca="false">'Qté 2027'!AL163*$C163</f>
        <v>0</v>
      </c>
      <c r="AM163" s="23" t="n">
        <f aca="false">'Qté 2027'!AM163*$C163</f>
        <v>0</v>
      </c>
      <c r="AN163" s="23" t="n">
        <f aca="false">'Qté 2027'!AN163*$C163</f>
        <v>0</v>
      </c>
      <c r="AO163" s="23" t="n">
        <f aca="false">'Qté 2027'!AO163*$C163</f>
        <v>0</v>
      </c>
      <c r="AP163" s="23" t="n">
        <f aca="false">'Qté 2027'!AP163*$C163</f>
        <v>0</v>
      </c>
      <c r="AQ163" s="23" t="n">
        <f aca="false">'Qté 2027'!AQ163*$C163</f>
        <v>0</v>
      </c>
      <c r="AR163" s="23" t="n">
        <f aca="false">'Qté 2027'!AR163*$C163</f>
        <v>0</v>
      </c>
      <c r="AS163" s="23" t="n">
        <f aca="false">'Qté 2027'!AS163*$C163</f>
        <v>0</v>
      </c>
      <c r="AT163" s="23" t="n">
        <f aca="false">'Qté 2027'!AT163*$C163</f>
        <v>0</v>
      </c>
      <c r="AU163" s="23" t="n">
        <f aca="false">'Qté 2027'!AU163*$C163</f>
        <v>0</v>
      </c>
      <c r="AV163" s="23" t="n">
        <f aca="false">'Qté 2027'!AV163*$C163</f>
        <v>0</v>
      </c>
      <c r="AW163" s="23" t="n">
        <f aca="false">'Qté 2027'!AW163*$C163</f>
        <v>0</v>
      </c>
      <c r="AX163" s="23" t="n">
        <f aca="false">'Qté 2027'!AX163*$C163</f>
        <v>0</v>
      </c>
      <c r="AY163" s="23" t="n">
        <f aca="false">'Qté 2027'!AY163*$C163</f>
        <v>0</v>
      </c>
      <c r="AZ163" s="23" t="n">
        <f aca="false">'Qté 2027'!AZ163*$C163</f>
        <v>0</v>
      </c>
      <c r="BA163" s="23" t="n">
        <f aca="false">'Qté 2027'!BA163*$C163</f>
        <v>0</v>
      </c>
      <c r="BB163" s="23" t="n">
        <f aca="false">'Qté 2027'!BB163*$C163</f>
        <v>0</v>
      </c>
      <c r="BC163" s="23" t="n">
        <f aca="false">'Qté 2027'!BC163*$C163</f>
        <v>0</v>
      </c>
      <c r="BD163" s="15" t="n">
        <f aca="false">SUM(D163:BC163)</f>
        <v>7.1928</v>
      </c>
    </row>
    <row r="164" customFormat="false" ht="15" hidden="false" customHeight="false" outlineLevel="0" collapsed="false">
      <c r="A164" s="5" t="s">
        <v>340</v>
      </c>
      <c r="B164" s="5" t="s">
        <v>69</v>
      </c>
      <c r="C164" s="22" t="n">
        <v>9.99</v>
      </c>
      <c r="D164" s="23" t="n">
        <f aca="false">'Qté 2027'!D164*$C164</f>
        <v>0</v>
      </c>
      <c r="E164" s="23" t="n">
        <f aca="false">'Qté 2027'!E164*$C164</f>
        <v>0</v>
      </c>
      <c r="F164" s="23" t="n">
        <f aca="false">'Qté 2027'!F164*$C164</f>
        <v>0</v>
      </c>
      <c r="G164" s="23" t="n">
        <f aca="false">'Qté 2027'!G164*$C164</f>
        <v>0</v>
      </c>
      <c r="H164" s="23" t="n">
        <f aca="false">'Qté 2027'!H164*$C164</f>
        <v>0</v>
      </c>
      <c r="I164" s="23" t="n">
        <f aca="false">'Qté 2027'!I164*$C164</f>
        <v>0</v>
      </c>
      <c r="J164" s="23" t="n">
        <f aca="false">'Qté 2027'!J164*$C164</f>
        <v>0</v>
      </c>
      <c r="K164" s="23" t="n">
        <f aca="false">'Qté 2027'!K164*$C164</f>
        <v>0</v>
      </c>
      <c r="L164" s="23" t="n">
        <f aca="false">'Qté 2027'!L164*$C164</f>
        <v>0</v>
      </c>
      <c r="M164" s="23" t="n">
        <f aca="false">'Qté 2027'!M164*$C164</f>
        <v>0</v>
      </c>
      <c r="N164" s="23" t="n">
        <f aca="false">'Qté 2027'!N164*$C164</f>
        <v>0</v>
      </c>
      <c r="O164" s="23" t="n">
        <f aca="false">'Qté 2027'!O164*$C164</f>
        <v>0</v>
      </c>
      <c r="P164" s="23" t="n">
        <f aca="false">'Qté 2027'!P164*$C164</f>
        <v>0</v>
      </c>
      <c r="Q164" s="23" t="n">
        <f aca="false">'Qté 2027'!Q164*$C164</f>
        <v>0</v>
      </c>
      <c r="R164" s="23" t="n">
        <f aca="false">'Qté 2027'!R164*$C164</f>
        <v>0</v>
      </c>
      <c r="S164" s="23" t="n">
        <f aca="false">'Qté 2027'!S164*$C164</f>
        <v>0</v>
      </c>
      <c r="T164" s="23" t="n">
        <f aca="false">'Qté 2027'!T164*$C164</f>
        <v>0</v>
      </c>
      <c r="U164" s="23" t="n">
        <f aca="false">'Qté 2027'!U164*$C164</f>
        <v>0.8991</v>
      </c>
      <c r="V164" s="23" t="n">
        <f aca="false">'Qté 2027'!V164*$C164</f>
        <v>1.7982</v>
      </c>
      <c r="W164" s="23" t="n">
        <f aca="false">'Qté 2027'!W164*$C164</f>
        <v>0.8991</v>
      </c>
      <c r="X164" s="23" t="n">
        <f aca="false">'Qté 2027'!X164*$C164</f>
        <v>0</v>
      </c>
      <c r="Y164" s="23" t="n">
        <f aca="false">'Qté 2027'!Y164*$C164</f>
        <v>0</v>
      </c>
      <c r="Z164" s="23" t="n">
        <f aca="false">'Qté 2027'!Z164*$C164</f>
        <v>0.8991</v>
      </c>
      <c r="AA164" s="23" t="n">
        <f aca="false">'Qté 2027'!AA164*$C164</f>
        <v>1.7982</v>
      </c>
      <c r="AB164" s="23" t="n">
        <f aca="false">'Qté 2027'!AB164*$C164</f>
        <v>0.8991</v>
      </c>
      <c r="AC164" s="23" t="n">
        <f aca="false">'Qté 2027'!AC164*$C164</f>
        <v>0</v>
      </c>
      <c r="AD164" s="23" t="n">
        <f aca="false">'Qté 2027'!AD164*$C164</f>
        <v>0</v>
      </c>
      <c r="AE164" s="23" t="n">
        <f aca="false">'Qté 2027'!AE164*$C164</f>
        <v>0</v>
      </c>
      <c r="AF164" s="23" t="n">
        <f aca="false">'Qté 2027'!AF164*$C164</f>
        <v>0</v>
      </c>
      <c r="AG164" s="23" t="n">
        <f aca="false">'Qté 2027'!AG164*$C164</f>
        <v>0</v>
      </c>
      <c r="AH164" s="23" t="n">
        <f aca="false">'Qté 2027'!AH164*$C164</f>
        <v>0</v>
      </c>
      <c r="AI164" s="23" t="n">
        <f aca="false">'Qté 2027'!AI164*$C164</f>
        <v>0</v>
      </c>
      <c r="AJ164" s="23" t="n">
        <f aca="false">'Qté 2027'!AJ164*$C164</f>
        <v>0</v>
      </c>
      <c r="AK164" s="23" t="n">
        <f aca="false">'Qté 2027'!AK164*$C164</f>
        <v>0</v>
      </c>
      <c r="AL164" s="23" t="n">
        <f aca="false">'Qté 2027'!AL164*$C164</f>
        <v>0</v>
      </c>
      <c r="AM164" s="23" t="n">
        <f aca="false">'Qté 2027'!AM164*$C164</f>
        <v>0</v>
      </c>
      <c r="AN164" s="23" t="n">
        <f aca="false">'Qté 2027'!AN164*$C164</f>
        <v>0</v>
      </c>
      <c r="AO164" s="23" t="n">
        <f aca="false">'Qté 2027'!AO164*$C164</f>
        <v>0</v>
      </c>
      <c r="AP164" s="23" t="n">
        <f aca="false">'Qté 2027'!AP164*$C164</f>
        <v>0</v>
      </c>
      <c r="AQ164" s="23" t="n">
        <f aca="false">'Qté 2027'!AQ164*$C164</f>
        <v>0</v>
      </c>
      <c r="AR164" s="23" t="n">
        <f aca="false">'Qté 2027'!AR164*$C164</f>
        <v>0</v>
      </c>
      <c r="AS164" s="23" t="n">
        <f aca="false">'Qté 2027'!AS164*$C164</f>
        <v>0</v>
      </c>
      <c r="AT164" s="23" t="n">
        <f aca="false">'Qté 2027'!AT164*$C164</f>
        <v>0</v>
      </c>
      <c r="AU164" s="23" t="n">
        <f aca="false">'Qté 2027'!AU164*$C164</f>
        <v>0</v>
      </c>
      <c r="AV164" s="23" t="n">
        <f aca="false">'Qté 2027'!AV164*$C164</f>
        <v>0</v>
      </c>
      <c r="AW164" s="23" t="n">
        <f aca="false">'Qté 2027'!AW164*$C164</f>
        <v>0</v>
      </c>
      <c r="AX164" s="23" t="n">
        <f aca="false">'Qté 2027'!AX164*$C164</f>
        <v>0</v>
      </c>
      <c r="AY164" s="23" t="n">
        <f aca="false">'Qté 2027'!AY164*$C164</f>
        <v>0</v>
      </c>
      <c r="AZ164" s="23" t="n">
        <f aca="false">'Qté 2027'!AZ164*$C164</f>
        <v>0</v>
      </c>
      <c r="BA164" s="23" t="n">
        <f aca="false">'Qté 2027'!BA164*$C164</f>
        <v>0</v>
      </c>
      <c r="BB164" s="23" t="n">
        <f aca="false">'Qté 2027'!BB164*$C164</f>
        <v>0</v>
      </c>
      <c r="BC164" s="23" t="n">
        <f aca="false">'Qté 2027'!BC164*$C164</f>
        <v>0</v>
      </c>
      <c r="BD164" s="15" t="n">
        <f aca="false">SUM(D164:BC164)</f>
        <v>7.1928</v>
      </c>
    </row>
    <row r="165" customFormat="false" ht="15" hidden="false" customHeight="false" outlineLevel="0" collapsed="false">
      <c r="A165" s="5" t="s">
        <v>341</v>
      </c>
      <c r="B165" s="5" t="s">
        <v>62</v>
      </c>
      <c r="C165" s="22" t="n">
        <v>15</v>
      </c>
      <c r="D165" s="23" t="n">
        <f aca="false">'Qté 2027'!D165*$C165</f>
        <v>0</v>
      </c>
      <c r="E165" s="23" t="n">
        <f aca="false">'Qté 2027'!E165*$C165</f>
        <v>0</v>
      </c>
      <c r="F165" s="23" t="n">
        <f aca="false">'Qté 2027'!F165*$C165</f>
        <v>0</v>
      </c>
      <c r="G165" s="23" t="n">
        <f aca="false">'Qté 2027'!G165*$C165</f>
        <v>0</v>
      </c>
      <c r="H165" s="23" t="n">
        <f aca="false">'Qté 2027'!H165*$C165</f>
        <v>0</v>
      </c>
      <c r="I165" s="23" t="n">
        <f aca="false">'Qté 2027'!I165*$C165</f>
        <v>0</v>
      </c>
      <c r="J165" s="23" t="n">
        <f aca="false">'Qté 2027'!J165*$C165</f>
        <v>0</v>
      </c>
      <c r="K165" s="23" t="n">
        <f aca="false">'Qté 2027'!K165*$C165</f>
        <v>0</v>
      </c>
      <c r="L165" s="23" t="n">
        <f aca="false">'Qté 2027'!L165*$C165</f>
        <v>0</v>
      </c>
      <c r="M165" s="23" t="n">
        <f aca="false">'Qté 2027'!M165*$C165</f>
        <v>0</v>
      </c>
      <c r="N165" s="23" t="n">
        <f aca="false">'Qté 2027'!N165*$C165</f>
        <v>0</v>
      </c>
      <c r="O165" s="23" t="n">
        <f aca="false">'Qté 2027'!O165*$C165</f>
        <v>0</v>
      </c>
      <c r="P165" s="23" t="n">
        <f aca="false">'Qté 2027'!P165*$C165</f>
        <v>0</v>
      </c>
      <c r="Q165" s="23" t="n">
        <f aca="false">'Qté 2027'!Q165*$C165</f>
        <v>0</v>
      </c>
      <c r="R165" s="23" t="n">
        <f aca="false">'Qté 2027'!R165*$C165</f>
        <v>0</v>
      </c>
      <c r="S165" s="23" t="n">
        <f aca="false">'Qté 2027'!S165*$C165</f>
        <v>0</v>
      </c>
      <c r="T165" s="23" t="n">
        <f aca="false">'Qté 2027'!T165*$C165</f>
        <v>0</v>
      </c>
      <c r="U165" s="23" t="n">
        <f aca="false">'Qté 2027'!U165*$C165</f>
        <v>0</v>
      </c>
      <c r="V165" s="23" t="n">
        <f aca="false">'Qté 2027'!V165*$C165</f>
        <v>0</v>
      </c>
      <c r="W165" s="23" t="n">
        <f aca="false">'Qté 2027'!W165*$C165</f>
        <v>0</v>
      </c>
      <c r="X165" s="23" t="n">
        <f aca="false">'Qté 2027'!X165*$C165</f>
        <v>0</v>
      </c>
      <c r="Y165" s="23" t="n">
        <f aca="false">'Qté 2027'!Y165*$C165</f>
        <v>0</v>
      </c>
      <c r="Z165" s="23" t="n">
        <f aca="false">'Qté 2027'!Z165*$C165</f>
        <v>0</v>
      </c>
      <c r="AA165" s="23" t="n">
        <f aca="false">'Qté 2027'!AA165*$C165</f>
        <v>0</v>
      </c>
      <c r="AB165" s="23" t="n">
        <f aca="false">'Qté 2027'!AB165*$C165</f>
        <v>0</v>
      </c>
      <c r="AC165" s="23" t="n">
        <f aca="false">'Qté 2027'!AC165*$C165</f>
        <v>0</v>
      </c>
      <c r="AD165" s="23" t="n">
        <f aca="false">'Qté 2027'!AD165*$C165</f>
        <v>0</v>
      </c>
      <c r="AE165" s="23" t="n">
        <f aca="false">'Qté 2027'!AE165*$C165</f>
        <v>0</v>
      </c>
      <c r="AF165" s="23" t="n">
        <f aca="false">'Qté 2027'!AF165*$C165</f>
        <v>0</v>
      </c>
      <c r="AG165" s="23" t="n">
        <f aca="false">'Qté 2027'!AG165*$C165</f>
        <v>0</v>
      </c>
      <c r="AH165" s="23" t="n">
        <f aca="false">'Qté 2027'!AH165*$C165</f>
        <v>0</v>
      </c>
      <c r="AI165" s="23" t="n">
        <f aca="false">'Qté 2027'!AI165*$C165</f>
        <v>1.8</v>
      </c>
      <c r="AJ165" s="23" t="n">
        <f aca="false">'Qté 2027'!AJ165*$C165</f>
        <v>3.45</v>
      </c>
      <c r="AK165" s="23" t="n">
        <f aca="false">'Qté 2027'!AK165*$C165</f>
        <v>1.8</v>
      </c>
      <c r="AL165" s="23" t="n">
        <f aca="false">'Qté 2027'!AL165*$C165</f>
        <v>0</v>
      </c>
      <c r="AM165" s="23" t="n">
        <f aca="false">'Qté 2027'!AM165*$C165</f>
        <v>0</v>
      </c>
      <c r="AN165" s="23" t="n">
        <f aca="false">'Qté 2027'!AN165*$C165</f>
        <v>0</v>
      </c>
      <c r="AO165" s="23" t="n">
        <f aca="false">'Qté 2027'!AO165*$C165</f>
        <v>0</v>
      </c>
      <c r="AP165" s="23" t="n">
        <f aca="false">'Qté 2027'!AP165*$C165</f>
        <v>0</v>
      </c>
      <c r="AQ165" s="23" t="n">
        <f aca="false">'Qté 2027'!AQ165*$C165</f>
        <v>0</v>
      </c>
      <c r="AR165" s="23" t="n">
        <f aca="false">'Qté 2027'!AR165*$C165</f>
        <v>0</v>
      </c>
      <c r="AS165" s="23" t="n">
        <f aca="false">'Qté 2027'!AS165*$C165</f>
        <v>0</v>
      </c>
      <c r="AT165" s="23" t="n">
        <f aca="false">'Qté 2027'!AT165*$C165</f>
        <v>0</v>
      </c>
      <c r="AU165" s="23" t="n">
        <f aca="false">'Qté 2027'!AU165*$C165</f>
        <v>0</v>
      </c>
      <c r="AV165" s="23" t="n">
        <f aca="false">'Qté 2027'!AV165*$C165</f>
        <v>0</v>
      </c>
      <c r="AW165" s="23" t="n">
        <f aca="false">'Qté 2027'!AW165*$C165</f>
        <v>0</v>
      </c>
      <c r="AX165" s="23" t="n">
        <f aca="false">'Qté 2027'!AX165*$C165</f>
        <v>0</v>
      </c>
      <c r="AY165" s="23" t="n">
        <f aca="false">'Qté 2027'!AY165*$C165</f>
        <v>0</v>
      </c>
      <c r="AZ165" s="23" t="n">
        <f aca="false">'Qté 2027'!AZ165*$C165</f>
        <v>0</v>
      </c>
      <c r="BA165" s="23" t="n">
        <f aca="false">'Qté 2027'!BA165*$C165</f>
        <v>0</v>
      </c>
      <c r="BB165" s="23" t="n">
        <f aca="false">'Qté 2027'!BB165*$C165</f>
        <v>0</v>
      </c>
      <c r="BC165" s="23" t="n">
        <f aca="false">'Qté 2027'!BC165*$C165</f>
        <v>0</v>
      </c>
      <c r="BD165" s="15" t="n">
        <f aca="false">SUM(D165:BC165)</f>
        <v>7.05</v>
      </c>
    </row>
    <row r="166" customFormat="false" ht="15" hidden="false" customHeight="false" outlineLevel="0" collapsed="false">
      <c r="A166" s="5" t="s">
        <v>342</v>
      </c>
      <c r="B166" s="5" t="s">
        <v>63</v>
      </c>
      <c r="C166" s="22" t="n">
        <v>30</v>
      </c>
      <c r="D166" s="23" t="n">
        <f aca="false">'Qté 2027'!D166*$C166</f>
        <v>0</v>
      </c>
      <c r="E166" s="23" t="n">
        <f aca="false">'Qté 2027'!E166*$C166</f>
        <v>0</v>
      </c>
      <c r="F166" s="23" t="n">
        <f aca="false">'Qté 2027'!F166*$C166</f>
        <v>0</v>
      </c>
      <c r="G166" s="23" t="n">
        <f aca="false">'Qté 2027'!G166*$C166</f>
        <v>0</v>
      </c>
      <c r="H166" s="23" t="n">
        <f aca="false">'Qté 2027'!H166*$C166</f>
        <v>0</v>
      </c>
      <c r="I166" s="23" t="n">
        <f aca="false">'Qté 2027'!I166*$C166</f>
        <v>0</v>
      </c>
      <c r="J166" s="23" t="n">
        <f aca="false">'Qté 2027'!J166*$C166</f>
        <v>0</v>
      </c>
      <c r="K166" s="23" t="n">
        <f aca="false">'Qté 2027'!K166*$C166</f>
        <v>0</v>
      </c>
      <c r="L166" s="23" t="n">
        <f aca="false">'Qté 2027'!L166*$C166</f>
        <v>0</v>
      </c>
      <c r="M166" s="23" t="n">
        <f aca="false">'Qté 2027'!M166*$C166</f>
        <v>0</v>
      </c>
      <c r="N166" s="23" t="n">
        <f aca="false">'Qté 2027'!N166*$C166</f>
        <v>0</v>
      </c>
      <c r="O166" s="23" t="n">
        <f aca="false">'Qté 2027'!O166*$C166</f>
        <v>0</v>
      </c>
      <c r="P166" s="23" t="n">
        <f aca="false">'Qté 2027'!P166*$C166</f>
        <v>0</v>
      </c>
      <c r="Q166" s="23" t="n">
        <f aca="false">'Qté 2027'!Q166*$C166</f>
        <v>0</v>
      </c>
      <c r="R166" s="23" t="n">
        <f aca="false">'Qté 2027'!R166*$C166</f>
        <v>0</v>
      </c>
      <c r="S166" s="23" t="n">
        <f aca="false">'Qté 2027'!S166*$C166</f>
        <v>0</v>
      </c>
      <c r="T166" s="23" t="n">
        <f aca="false">'Qté 2027'!T166*$C166</f>
        <v>0</v>
      </c>
      <c r="U166" s="23" t="n">
        <f aca="false">'Qté 2027'!U166*$C166</f>
        <v>0</v>
      </c>
      <c r="V166" s="23" t="n">
        <f aca="false">'Qté 2027'!V166*$C166</f>
        <v>0</v>
      </c>
      <c r="W166" s="23" t="n">
        <f aca="false">'Qté 2027'!W166*$C166</f>
        <v>0</v>
      </c>
      <c r="X166" s="23" t="n">
        <f aca="false">'Qté 2027'!X166*$C166</f>
        <v>0</v>
      </c>
      <c r="Y166" s="23" t="n">
        <f aca="false">'Qté 2027'!Y166*$C166</f>
        <v>0</v>
      </c>
      <c r="Z166" s="23" t="n">
        <f aca="false">'Qté 2027'!Z166*$C166</f>
        <v>0</v>
      </c>
      <c r="AA166" s="23" t="n">
        <f aca="false">'Qté 2027'!AA166*$C166</f>
        <v>0</v>
      </c>
      <c r="AB166" s="23" t="n">
        <f aca="false">'Qté 2027'!AB166*$C166</f>
        <v>1.8</v>
      </c>
      <c r="AC166" s="23" t="n">
        <f aca="false">'Qté 2027'!AC166*$C166</f>
        <v>3.3</v>
      </c>
      <c r="AD166" s="23" t="n">
        <f aca="false">'Qté 2027'!AD166*$C166</f>
        <v>1.8</v>
      </c>
      <c r="AE166" s="23" t="n">
        <f aca="false">'Qté 2027'!AE166*$C166</f>
        <v>0</v>
      </c>
      <c r="AF166" s="23" t="n">
        <f aca="false">'Qté 2027'!AF166*$C166</f>
        <v>0</v>
      </c>
      <c r="AG166" s="23" t="n">
        <f aca="false">'Qté 2027'!AG166*$C166</f>
        <v>0</v>
      </c>
      <c r="AH166" s="23" t="n">
        <f aca="false">'Qté 2027'!AH166*$C166</f>
        <v>0</v>
      </c>
      <c r="AI166" s="23" t="n">
        <f aca="false">'Qté 2027'!AI166*$C166</f>
        <v>0</v>
      </c>
      <c r="AJ166" s="23" t="n">
        <f aca="false">'Qté 2027'!AJ166*$C166</f>
        <v>0</v>
      </c>
      <c r="AK166" s="23" t="n">
        <f aca="false">'Qté 2027'!AK166*$C166</f>
        <v>0</v>
      </c>
      <c r="AL166" s="23" t="n">
        <f aca="false">'Qté 2027'!AL166*$C166</f>
        <v>0</v>
      </c>
      <c r="AM166" s="23" t="n">
        <f aca="false">'Qté 2027'!AM166*$C166</f>
        <v>0</v>
      </c>
      <c r="AN166" s="23" t="n">
        <f aca="false">'Qté 2027'!AN166*$C166</f>
        <v>0</v>
      </c>
      <c r="AO166" s="23" t="n">
        <f aca="false">'Qté 2027'!AO166*$C166</f>
        <v>0</v>
      </c>
      <c r="AP166" s="23" t="n">
        <f aca="false">'Qté 2027'!AP166*$C166</f>
        <v>0</v>
      </c>
      <c r="AQ166" s="23" t="n">
        <f aca="false">'Qté 2027'!AQ166*$C166</f>
        <v>0</v>
      </c>
      <c r="AR166" s="23" t="n">
        <f aca="false">'Qté 2027'!AR166*$C166</f>
        <v>0</v>
      </c>
      <c r="AS166" s="23" t="n">
        <f aca="false">'Qté 2027'!AS166*$C166</f>
        <v>0</v>
      </c>
      <c r="AT166" s="23" t="n">
        <f aca="false">'Qté 2027'!AT166*$C166</f>
        <v>0</v>
      </c>
      <c r="AU166" s="23" t="n">
        <f aca="false">'Qté 2027'!AU166*$C166</f>
        <v>0</v>
      </c>
      <c r="AV166" s="23" t="n">
        <f aca="false">'Qté 2027'!AV166*$C166</f>
        <v>0</v>
      </c>
      <c r="AW166" s="23" t="n">
        <f aca="false">'Qté 2027'!AW166*$C166</f>
        <v>0</v>
      </c>
      <c r="AX166" s="23" t="n">
        <f aca="false">'Qté 2027'!AX166*$C166</f>
        <v>0</v>
      </c>
      <c r="AY166" s="23" t="n">
        <f aca="false">'Qté 2027'!AY166*$C166</f>
        <v>0</v>
      </c>
      <c r="AZ166" s="23" t="n">
        <f aca="false">'Qté 2027'!AZ166*$C166</f>
        <v>0</v>
      </c>
      <c r="BA166" s="23" t="n">
        <f aca="false">'Qté 2027'!BA166*$C166</f>
        <v>0</v>
      </c>
      <c r="BB166" s="23" t="n">
        <f aca="false">'Qté 2027'!BB166*$C166</f>
        <v>0</v>
      </c>
      <c r="BC166" s="23" t="n">
        <f aca="false">'Qté 2027'!BC166*$C166</f>
        <v>0</v>
      </c>
      <c r="BD166" s="15" t="n">
        <f aca="false">SUM(D166:BC166)</f>
        <v>6.9</v>
      </c>
    </row>
    <row r="167" customFormat="false" ht="15" hidden="false" customHeight="false" outlineLevel="0" collapsed="false">
      <c r="A167" s="5" t="s">
        <v>343</v>
      </c>
      <c r="B167" s="5" t="s">
        <v>64</v>
      </c>
      <c r="C167" s="22" t="n">
        <v>1.8</v>
      </c>
      <c r="D167" s="23" t="n">
        <f aca="false">'Qté 2027'!D167*$C167</f>
        <v>0</v>
      </c>
      <c r="E167" s="23" t="n">
        <f aca="false">'Qté 2027'!E167*$C167</f>
        <v>0</v>
      </c>
      <c r="F167" s="23" t="n">
        <f aca="false">'Qté 2027'!F167*$C167</f>
        <v>0</v>
      </c>
      <c r="G167" s="23" t="n">
        <f aca="false">'Qté 2027'!G167*$C167</f>
        <v>0</v>
      </c>
      <c r="H167" s="23" t="n">
        <f aca="false">'Qté 2027'!H167*$C167</f>
        <v>0</v>
      </c>
      <c r="I167" s="23" t="n">
        <f aca="false">'Qté 2027'!I167*$C167</f>
        <v>0</v>
      </c>
      <c r="J167" s="23" t="n">
        <f aca="false">'Qté 2027'!J167*$C167</f>
        <v>0</v>
      </c>
      <c r="K167" s="23" t="n">
        <f aca="false">'Qté 2027'!K167*$C167</f>
        <v>0</v>
      </c>
      <c r="L167" s="23" t="n">
        <f aca="false">'Qté 2027'!L167*$C167</f>
        <v>0</v>
      </c>
      <c r="M167" s="23" t="n">
        <f aca="false">'Qté 2027'!M167*$C167</f>
        <v>0.162</v>
      </c>
      <c r="N167" s="23" t="n">
        <f aca="false">'Qté 2027'!N167*$C167</f>
        <v>0.378</v>
      </c>
      <c r="O167" s="23" t="n">
        <f aca="false">'Qté 2027'!O167*$C167</f>
        <v>0.288</v>
      </c>
      <c r="P167" s="23" t="n">
        <f aca="false">'Qté 2027'!P167*$C167</f>
        <v>0.054</v>
      </c>
      <c r="Q167" s="23" t="n">
        <f aca="false">'Qté 2027'!Q167*$C167</f>
        <v>0</v>
      </c>
      <c r="R167" s="23" t="n">
        <f aca="false">'Qté 2027'!R167*$C167</f>
        <v>0</v>
      </c>
      <c r="S167" s="23" t="n">
        <f aca="false">'Qté 2027'!S167*$C167</f>
        <v>0.306</v>
      </c>
      <c r="T167" s="23" t="n">
        <f aca="false">'Qté 2027'!T167*$C167</f>
        <v>0.666</v>
      </c>
      <c r="U167" s="23" t="n">
        <f aca="false">'Qté 2027'!U167*$C167</f>
        <v>0.756</v>
      </c>
      <c r="V167" s="23" t="n">
        <f aca="false">'Qté 2027'!V167*$C167</f>
        <v>0.72</v>
      </c>
      <c r="W167" s="23" t="n">
        <f aca="false">'Qté 2027'!W167*$C167</f>
        <v>0.414</v>
      </c>
      <c r="X167" s="23" t="n">
        <f aca="false">'Qté 2027'!X167*$C167</f>
        <v>0.162</v>
      </c>
      <c r="Y167" s="23" t="n">
        <f aca="false">'Qté 2027'!Y167*$C167</f>
        <v>0.198</v>
      </c>
      <c r="Z167" s="23" t="n">
        <f aca="false">'Qté 2027'!Z167*$C167</f>
        <v>0.252</v>
      </c>
      <c r="AA167" s="23" t="n">
        <f aca="false">'Qté 2027'!AA167*$C167</f>
        <v>0.126</v>
      </c>
      <c r="AB167" s="23" t="n">
        <f aca="false">'Qté 2027'!AB167*$C167</f>
        <v>0</v>
      </c>
      <c r="AC167" s="23" t="n">
        <f aca="false">'Qté 2027'!AC167*$C167</f>
        <v>0.09</v>
      </c>
      <c r="AD167" s="23" t="n">
        <f aca="false">'Qté 2027'!AD167*$C167</f>
        <v>0.162</v>
      </c>
      <c r="AE167" s="23" t="n">
        <f aca="false">'Qté 2027'!AE167*$C167</f>
        <v>0.09</v>
      </c>
      <c r="AF167" s="23" t="n">
        <f aca="false">'Qté 2027'!AF167*$C167</f>
        <v>0</v>
      </c>
      <c r="AG167" s="23" t="n">
        <f aca="false">'Qté 2027'!AG167*$C167</f>
        <v>0</v>
      </c>
      <c r="AH167" s="23" t="n">
        <f aca="false">'Qté 2027'!AH167*$C167</f>
        <v>0.054</v>
      </c>
      <c r="AI167" s="23" t="n">
        <f aca="false">'Qté 2027'!AI167*$C167</f>
        <v>0.126</v>
      </c>
      <c r="AJ167" s="23" t="n">
        <f aca="false">'Qté 2027'!AJ167*$C167</f>
        <v>0.054</v>
      </c>
      <c r="AK167" s="23" t="n">
        <f aca="false">'Qté 2027'!AK167*$C167</f>
        <v>0</v>
      </c>
      <c r="AL167" s="23" t="n">
        <f aca="false">'Qté 2027'!AL167*$C167</f>
        <v>0</v>
      </c>
      <c r="AM167" s="23" t="n">
        <f aca="false">'Qté 2027'!AM167*$C167</f>
        <v>0</v>
      </c>
      <c r="AN167" s="23" t="n">
        <f aca="false">'Qté 2027'!AN167*$C167</f>
        <v>0.36</v>
      </c>
      <c r="AO167" s="23" t="n">
        <f aca="false">'Qté 2027'!AO167*$C167</f>
        <v>0.72</v>
      </c>
      <c r="AP167" s="23" t="n">
        <f aca="false">'Qté 2027'!AP167*$C167</f>
        <v>0.36</v>
      </c>
      <c r="AQ167" s="23" t="n">
        <f aca="false">'Qté 2027'!AQ167*$C167</f>
        <v>0</v>
      </c>
      <c r="AR167" s="23" t="n">
        <f aca="false">'Qté 2027'!AR167*$C167</f>
        <v>0</v>
      </c>
      <c r="AS167" s="23" t="n">
        <f aca="false">'Qté 2027'!AS167*$C167</f>
        <v>0</v>
      </c>
      <c r="AT167" s="23" t="n">
        <f aca="false">'Qté 2027'!AT167*$C167</f>
        <v>0</v>
      </c>
      <c r="AU167" s="23" t="n">
        <f aca="false">'Qté 2027'!AU167*$C167</f>
        <v>0</v>
      </c>
      <c r="AV167" s="23" t="n">
        <f aca="false">'Qté 2027'!AV167*$C167</f>
        <v>0</v>
      </c>
      <c r="AW167" s="23" t="n">
        <f aca="false">'Qté 2027'!AW167*$C167</f>
        <v>0</v>
      </c>
      <c r="AX167" s="23" t="n">
        <f aca="false">'Qté 2027'!AX167*$C167</f>
        <v>0</v>
      </c>
      <c r="AY167" s="23" t="n">
        <f aca="false">'Qté 2027'!AY167*$C167</f>
        <v>0</v>
      </c>
      <c r="AZ167" s="23" t="n">
        <f aca="false">'Qté 2027'!AZ167*$C167</f>
        <v>0</v>
      </c>
      <c r="BA167" s="23" t="n">
        <f aca="false">'Qté 2027'!BA167*$C167</f>
        <v>0</v>
      </c>
      <c r="BB167" s="23" t="n">
        <f aca="false">'Qté 2027'!BB167*$C167</f>
        <v>0</v>
      </c>
      <c r="BC167" s="23" t="n">
        <f aca="false">'Qté 2027'!BC167*$C167</f>
        <v>0</v>
      </c>
      <c r="BD167" s="15" t="n">
        <f aca="false">SUM(D167:BC167)</f>
        <v>6.498</v>
      </c>
    </row>
    <row r="168" customFormat="false" ht="15" hidden="false" customHeight="false" outlineLevel="0" collapsed="false">
      <c r="A168" s="5" t="s">
        <v>344</v>
      </c>
      <c r="B168" s="5" t="s">
        <v>69</v>
      </c>
      <c r="C168" s="22" t="n">
        <v>17.16</v>
      </c>
      <c r="D168" s="23" t="n">
        <f aca="false">'Qté 2027'!D168*$C168</f>
        <v>0</v>
      </c>
      <c r="E168" s="23" t="n">
        <f aca="false">'Qté 2027'!E168*$C168</f>
        <v>0</v>
      </c>
      <c r="F168" s="23" t="n">
        <f aca="false">'Qté 2027'!F168*$C168</f>
        <v>0</v>
      </c>
      <c r="G168" s="23" t="n">
        <f aca="false">'Qté 2027'!G168*$C168</f>
        <v>0</v>
      </c>
      <c r="H168" s="23" t="n">
        <f aca="false">'Qté 2027'!H168*$C168</f>
        <v>0</v>
      </c>
      <c r="I168" s="23" t="n">
        <f aca="false">'Qté 2027'!I168*$C168</f>
        <v>0</v>
      </c>
      <c r="J168" s="23" t="n">
        <f aca="false">'Qté 2027'!J168*$C168</f>
        <v>0</v>
      </c>
      <c r="K168" s="23" t="n">
        <f aca="false">'Qté 2027'!K168*$C168</f>
        <v>0</v>
      </c>
      <c r="L168" s="23" t="n">
        <f aca="false">'Qté 2027'!L168*$C168</f>
        <v>0</v>
      </c>
      <c r="M168" s="23" t="n">
        <f aca="false">'Qté 2027'!M168*$C168</f>
        <v>0</v>
      </c>
      <c r="N168" s="23" t="n">
        <f aca="false">'Qté 2027'!N168*$C168</f>
        <v>0</v>
      </c>
      <c r="O168" s="23" t="n">
        <f aca="false">'Qté 2027'!O168*$C168</f>
        <v>0</v>
      </c>
      <c r="P168" s="23" t="n">
        <f aca="false">'Qté 2027'!P168*$C168</f>
        <v>0</v>
      </c>
      <c r="Q168" s="23" t="n">
        <f aca="false">'Qté 2027'!Q168*$C168</f>
        <v>0</v>
      </c>
      <c r="R168" s="23" t="n">
        <f aca="false">'Qté 2027'!R168*$C168</f>
        <v>0</v>
      </c>
      <c r="S168" s="23" t="n">
        <f aca="false">'Qté 2027'!S168*$C168</f>
        <v>0</v>
      </c>
      <c r="T168" s="23" t="n">
        <f aca="false">'Qté 2027'!T168*$C168</f>
        <v>0</v>
      </c>
      <c r="U168" s="23" t="n">
        <f aca="false">'Qté 2027'!U168*$C168</f>
        <v>0</v>
      </c>
      <c r="V168" s="23" t="n">
        <f aca="false">'Qté 2027'!V168*$C168</f>
        <v>0</v>
      </c>
      <c r="W168" s="23" t="n">
        <f aca="false">'Qté 2027'!W168*$C168</f>
        <v>0</v>
      </c>
      <c r="X168" s="23" t="n">
        <f aca="false">'Qté 2027'!X168*$C168</f>
        <v>0</v>
      </c>
      <c r="Y168" s="23" t="n">
        <f aca="false">'Qté 2027'!Y168*$C168</f>
        <v>0</v>
      </c>
      <c r="Z168" s="23" t="n">
        <f aca="false">'Qté 2027'!Z168*$C168</f>
        <v>0</v>
      </c>
      <c r="AA168" s="23" t="n">
        <f aca="false">'Qté 2027'!AA168*$C168</f>
        <v>1.5444</v>
      </c>
      <c r="AB168" s="23" t="n">
        <f aca="false">'Qté 2027'!AB168*$C168</f>
        <v>3.0888</v>
      </c>
      <c r="AC168" s="23" t="n">
        <f aca="false">'Qté 2027'!AC168*$C168</f>
        <v>1.5444</v>
      </c>
      <c r="AD168" s="23" t="n">
        <f aca="false">'Qté 2027'!AD168*$C168</f>
        <v>0</v>
      </c>
      <c r="AE168" s="23" t="n">
        <f aca="false">'Qté 2027'!AE168*$C168</f>
        <v>0</v>
      </c>
      <c r="AF168" s="23" t="n">
        <f aca="false">'Qté 2027'!AF168*$C168</f>
        <v>0</v>
      </c>
      <c r="AG168" s="23" t="n">
        <f aca="false">'Qté 2027'!AG168*$C168</f>
        <v>0</v>
      </c>
      <c r="AH168" s="23" t="n">
        <f aca="false">'Qté 2027'!AH168*$C168</f>
        <v>0</v>
      </c>
      <c r="AI168" s="23" t="n">
        <f aca="false">'Qté 2027'!AI168*$C168</f>
        <v>0</v>
      </c>
      <c r="AJ168" s="23" t="n">
        <f aca="false">'Qté 2027'!AJ168*$C168</f>
        <v>0</v>
      </c>
      <c r="AK168" s="23" t="n">
        <f aca="false">'Qté 2027'!AK168*$C168</f>
        <v>0</v>
      </c>
      <c r="AL168" s="23" t="n">
        <f aca="false">'Qté 2027'!AL168*$C168</f>
        <v>0</v>
      </c>
      <c r="AM168" s="23" t="n">
        <f aca="false">'Qté 2027'!AM168*$C168</f>
        <v>0</v>
      </c>
      <c r="AN168" s="23" t="n">
        <f aca="false">'Qté 2027'!AN168*$C168</f>
        <v>0</v>
      </c>
      <c r="AO168" s="23" t="n">
        <f aca="false">'Qté 2027'!AO168*$C168</f>
        <v>0</v>
      </c>
      <c r="AP168" s="23" t="n">
        <f aca="false">'Qté 2027'!AP168*$C168</f>
        <v>0</v>
      </c>
      <c r="AQ168" s="23" t="n">
        <f aca="false">'Qté 2027'!AQ168*$C168</f>
        <v>0</v>
      </c>
      <c r="AR168" s="23" t="n">
        <f aca="false">'Qté 2027'!AR168*$C168</f>
        <v>0</v>
      </c>
      <c r="AS168" s="23" t="n">
        <f aca="false">'Qté 2027'!AS168*$C168</f>
        <v>0</v>
      </c>
      <c r="AT168" s="23" t="n">
        <f aca="false">'Qté 2027'!AT168*$C168</f>
        <v>0</v>
      </c>
      <c r="AU168" s="23" t="n">
        <f aca="false">'Qté 2027'!AU168*$C168</f>
        <v>0</v>
      </c>
      <c r="AV168" s="23" t="n">
        <f aca="false">'Qté 2027'!AV168*$C168</f>
        <v>0</v>
      </c>
      <c r="AW168" s="23" t="n">
        <f aca="false">'Qté 2027'!AW168*$C168</f>
        <v>0</v>
      </c>
      <c r="AX168" s="23" t="n">
        <f aca="false">'Qté 2027'!AX168*$C168</f>
        <v>0</v>
      </c>
      <c r="AY168" s="23" t="n">
        <f aca="false">'Qté 2027'!AY168*$C168</f>
        <v>0</v>
      </c>
      <c r="AZ168" s="23" t="n">
        <f aca="false">'Qté 2027'!AZ168*$C168</f>
        <v>0</v>
      </c>
      <c r="BA168" s="23" t="n">
        <f aca="false">'Qté 2027'!BA168*$C168</f>
        <v>0</v>
      </c>
      <c r="BB168" s="23" t="n">
        <f aca="false">'Qté 2027'!BB168*$C168</f>
        <v>0</v>
      </c>
      <c r="BC168" s="23" t="n">
        <f aca="false">'Qté 2027'!BC168*$C168</f>
        <v>0</v>
      </c>
      <c r="BD168" s="15" t="n">
        <f aca="false">SUM(D168:BC168)</f>
        <v>6.1776</v>
      </c>
    </row>
    <row r="169" customFormat="false" ht="15" hidden="false" customHeight="false" outlineLevel="0" collapsed="false">
      <c r="A169" s="5" t="s">
        <v>345</v>
      </c>
      <c r="B169" s="5" t="s">
        <v>69</v>
      </c>
      <c r="C169" s="22" t="n">
        <v>18.6</v>
      </c>
      <c r="D169" s="23" t="n">
        <f aca="false">'Qté 2027'!D169*$C169</f>
        <v>0</v>
      </c>
      <c r="E169" s="23" t="n">
        <f aca="false">'Qté 2027'!E169*$C169</f>
        <v>0</v>
      </c>
      <c r="F169" s="23" t="n">
        <f aca="false">'Qté 2027'!F169*$C169</f>
        <v>0</v>
      </c>
      <c r="G169" s="23" t="n">
        <f aca="false">'Qté 2027'!G169*$C169</f>
        <v>0</v>
      </c>
      <c r="H169" s="23" t="n">
        <f aca="false">'Qté 2027'!H169*$C169</f>
        <v>0</v>
      </c>
      <c r="I169" s="23" t="n">
        <f aca="false">'Qté 2027'!I169*$C169</f>
        <v>0</v>
      </c>
      <c r="J169" s="23" t="n">
        <f aca="false">'Qté 2027'!J169*$C169</f>
        <v>0</v>
      </c>
      <c r="K169" s="23" t="n">
        <f aca="false">'Qté 2027'!K169*$C169</f>
        <v>0</v>
      </c>
      <c r="L169" s="23" t="n">
        <f aca="false">'Qté 2027'!L169*$C169</f>
        <v>0</v>
      </c>
      <c r="M169" s="23" t="n">
        <f aca="false">'Qté 2027'!M169*$C169</f>
        <v>0</v>
      </c>
      <c r="N169" s="23" t="n">
        <f aca="false">'Qté 2027'!N169*$C169</f>
        <v>0</v>
      </c>
      <c r="O169" s="23" t="n">
        <f aca="false">'Qté 2027'!O169*$C169</f>
        <v>0</v>
      </c>
      <c r="P169" s="23" t="n">
        <f aca="false">'Qté 2027'!P169*$C169</f>
        <v>0</v>
      </c>
      <c r="Q169" s="23" t="n">
        <f aca="false">'Qté 2027'!Q169*$C169</f>
        <v>0</v>
      </c>
      <c r="R169" s="23" t="n">
        <f aca="false">'Qté 2027'!R169*$C169</f>
        <v>0</v>
      </c>
      <c r="S169" s="23" t="n">
        <f aca="false">'Qté 2027'!S169*$C169</f>
        <v>0</v>
      </c>
      <c r="T169" s="23" t="n">
        <f aca="false">'Qté 2027'!T169*$C169</f>
        <v>0</v>
      </c>
      <c r="U169" s="23" t="n">
        <f aca="false">'Qté 2027'!U169*$C169</f>
        <v>0</v>
      </c>
      <c r="V169" s="23" t="n">
        <f aca="false">'Qté 2027'!V169*$C169</f>
        <v>0</v>
      </c>
      <c r="W169" s="23" t="n">
        <f aca="false">'Qté 2027'!W169*$C169</f>
        <v>0</v>
      </c>
      <c r="X169" s="23" t="n">
        <f aca="false">'Qté 2027'!X169*$C169</f>
        <v>0</v>
      </c>
      <c r="Y169" s="23" t="n">
        <f aca="false">'Qté 2027'!Y169*$C169</f>
        <v>0</v>
      </c>
      <c r="Z169" s="23" t="n">
        <f aca="false">'Qté 2027'!Z169*$C169</f>
        <v>0</v>
      </c>
      <c r="AA169" s="23" t="n">
        <f aca="false">'Qté 2027'!AA169*$C169</f>
        <v>0</v>
      </c>
      <c r="AB169" s="23" t="n">
        <f aca="false">'Qté 2027'!AB169*$C169</f>
        <v>0</v>
      </c>
      <c r="AC169" s="23" t="n">
        <f aca="false">'Qté 2027'!AC169*$C169</f>
        <v>0</v>
      </c>
      <c r="AD169" s="23" t="n">
        <f aca="false">'Qté 2027'!AD169*$C169</f>
        <v>0</v>
      </c>
      <c r="AE169" s="23" t="n">
        <f aca="false">'Qté 2027'!AE169*$C169</f>
        <v>0</v>
      </c>
      <c r="AF169" s="23" t="n">
        <f aca="false">'Qté 2027'!AF169*$C169</f>
        <v>0</v>
      </c>
      <c r="AG169" s="23" t="n">
        <f aca="false">'Qté 2027'!AG169*$C169</f>
        <v>1.488</v>
      </c>
      <c r="AH169" s="23" t="n">
        <f aca="false">'Qté 2027'!AH169*$C169</f>
        <v>3.162</v>
      </c>
      <c r="AI169" s="23" t="n">
        <f aca="false">'Qté 2027'!AI169*$C169</f>
        <v>1.488</v>
      </c>
      <c r="AJ169" s="23" t="n">
        <f aca="false">'Qté 2027'!AJ169*$C169</f>
        <v>0</v>
      </c>
      <c r="AK169" s="23" t="n">
        <f aca="false">'Qté 2027'!AK169*$C169</f>
        <v>0</v>
      </c>
      <c r="AL169" s="23" t="n">
        <f aca="false">'Qté 2027'!AL169*$C169</f>
        <v>0</v>
      </c>
      <c r="AM169" s="23" t="n">
        <f aca="false">'Qté 2027'!AM169*$C169</f>
        <v>0</v>
      </c>
      <c r="AN169" s="23" t="n">
        <f aca="false">'Qté 2027'!AN169*$C169</f>
        <v>0</v>
      </c>
      <c r="AO169" s="23" t="n">
        <f aca="false">'Qté 2027'!AO169*$C169</f>
        <v>0</v>
      </c>
      <c r="AP169" s="23" t="n">
        <f aca="false">'Qté 2027'!AP169*$C169</f>
        <v>0</v>
      </c>
      <c r="AQ169" s="23" t="n">
        <f aca="false">'Qté 2027'!AQ169*$C169</f>
        <v>0</v>
      </c>
      <c r="AR169" s="23" t="n">
        <f aca="false">'Qté 2027'!AR169*$C169</f>
        <v>0</v>
      </c>
      <c r="AS169" s="23" t="n">
        <f aca="false">'Qté 2027'!AS169*$C169</f>
        <v>0</v>
      </c>
      <c r="AT169" s="23" t="n">
        <f aca="false">'Qté 2027'!AT169*$C169</f>
        <v>0</v>
      </c>
      <c r="AU169" s="23" t="n">
        <f aca="false">'Qté 2027'!AU169*$C169</f>
        <v>0</v>
      </c>
      <c r="AV169" s="23" t="n">
        <f aca="false">'Qté 2027'!AV169*$C169</f>
        <v>0</v>
      </c>
      <c r="AW169" s="23" t="n">
        <f aca="false">'Qté 2027'!AW169*$C169</f>
        <v>0</v>
      </c>
      <c r="AX169" s="23" t="n">
        <f aca="false">'Qté 2027'!AX169*$C169</f>
        <v>0</v>
      </c>
      <c r="AY169" s="23" t="n">
        <f aca="false">'Qté 2027'!AY169*$C169</f>
        <v>0</v>
      </c>
      <c r="AZ169" s="23" t="n">
        <f aca="false">'Qté 2027'!AZ169*$C169</f>
        <v>0</v>
      </c>
      <c r="BA169" s="23" t="n">
        <f aca="false">'Qté 2027'!BA169*$C169</f>
        <v>0</v>
      </c>
      <c r="BB169" s="23" t="n">
        <f aca="false">'Qté 2027'!BB169*$C169</f>
        <v>0</v>
      </c>
      <c r="BC169" s="23" t="n">
        <f aca="false">'Qté 2027'!BC169*$C169</f>
        <v>0</v>
      </c>
      <c r="BD169" s="15" t="n">
        <f aca="false">SUM(D169:BC169)</f>
        <v>6.138</v>
      </c>
    </row>
    <row r="170" customFormat="false" ht="15" hidden="false" customHeight="false" outlineLevel="0" collapsed="false">
      <c r="A170" s="5" t="s">
        <v>346</v>
      </c>
      <c r="B170" s="5" t="s">
        <v>64</v>
      </c>
      <c r="C170" s="22" t="n">
        <v>25</v>
      </c>
      <c r="D170" s="23" t="n">
        <f aca="false">'Qté 2027'!D170*$C170</f>
        <v>0</v>
      </c>
      <c r="E170" s="23" t="n">
        <f aca="false">'Qté 2027'!E170*$C170</f>
        <v>0</v>
      </c>
      <c r="F170" s="23" t="n">
        <f aca="false">'Qté 2027'!F170*$C170</f>
        <v>0</v>
      </c>
      <c r="G170" s="23" t="n">
        <f aca="false">'Qté 2027'!G170*$C170</f>
        <v>0</v>
      </c>
      <c r="H170" s="23" t="n">
        <f aca="false">'Qté 2027'!H170*$C170</f>
        <v>0</v>
      </c>
      <c r="I170" s="23" t="n">
        <f aca="false">'Qté 2027'!I170*$C170</f>
        <v>0</v>
      </c>
      <c r="J170" s="23" t="n">
        <f aca="false">'Qté 2027'!J170*$C170</f>
        <v>0</v>
      </c>
      <c r="K170" s="23" t="n">
        <f aca="false">'Qté 2027'!K170*$C170</f>
        <v>0</v>
      </c>
      <c r="L170" s="23" t="n">
        <f aca="false">'Qté 2027'!L170*$C170</f>
        <v>0</v>
      </c>
      <c r="M170" s="23" t="n">
        <f aca="false">'Qté 2027'!M170*$C170</f>
        <v>0</v>
      </c>
      <c r="N170" s="23" t="n">
        <f aca="false">'Qté 2027'!N170*$C170</f>
        <v>0</v>
      </c>
      <c r="O170" s="23" t="n">
        <f aca="false">'Qté 2027'!O170*$C170</f>
        <v>0</v>
      </c>
      <c r="P170" s="23" t="n">
        <f aca="false">'Qté 2027'!P170*$C170</f>
        <v>0.75</v>
      </c>
      <c r="Q170" s="23" t="n">
        <f aca="false">'Qté 2027'!Q170*$C170</f>
        <v>1.75</v>
      </c>
      <c r="R170" s="23" t="n">
        <f aca="false">'Qté 2027'!R170*$C170</f>
        <v>0.75</v>
      </c>
      <c r="S170" s="23" t="n">
        <f aca="false">'Qté 2027'!S170*$C170</f>
        <v>0</v>
      </c>
      <c r="T170" s="23" t="n">
        <f aca="false">'Qté 2027'!T170*$C170</f>
        <v>0</v>
      </c>
      <c r="U170" s="23" t="n">
        <f aca="false">'Qté 2027'!U170*$C170</f>
        <v>0.75</v>
      </c>
      <c r="V170" s="23" t="n">
        <f aca="false">'Qté 2027'!V170*$C170</f>
        <v>1.25</v>
      </c>
      <c r="W170" s="23" t="n">
        <f aca="false">'Qté 2027'!W170*$C170</f>
        <v>0.75</v>
      </c>
      <c r="X170" s="23" t="n">
        <f aca="false">'Qté 2027'!X170*$C170</f>
        <v>0</v>
      </c>
      <c r="Y170" s="23" t="n">
        <f aca="false">'Qté 2027'!Y170*$C170</f>
        <v>0</v>
      </c>
      <c r="Z170" s="23" t="n">
        <f aca="false">'Qté 2027'!Z170*$C170</f>
        <v>0</v>
      </c>
      <c r="AA170" s="23" t="n">
        <f aca="false">'Qté 2027'!AA170*$C170</f>
        <v>0</v>
      </c>
      <c r="AB170" s="23" t="n">
        <f aca="false">'Qté 2027'!AB170*$C170</f>
        <v>0</v>
      </c>
      <c r="AC170" s="23" t="n">
        <f aca="false">'Qté 2027'!AC170*$C170</f>
        <v>0</v>
      </c>
      <c r="AD170" s="23" t="n">
        <f aca="false">'Qté 2027'!AD170*$C170</f>
        <v>0</v>
      </c>
      <c r="AE170" s="23" t="n">
        <f aca="false">'Qté 2027'!AE170*$C170</f>
        <v>0</v>
      </c>
      <c r="AF170" s="23" t="n">
        <f aca="false">'Qté 2027'!AF170*$C170</f>
        <v>0</v>
      </c>
      <c r="AG170" s="23" t="n">
        <f aca="false">'Qté 2027'!AG170*$C170</f>
        <v>0</v>
      </c>
      <c r="AH170" s="23" t="n">
        <f aca="false">'Qté 2027'!AH170*$C170</f>
        <v>0</v>
      </c>
      <c r="AI170" s="23" t="n">
        <f aca="false">'Qté 2027'!AI170*$C170</f>
        <v>0</v>
      </c>
      <c r="AJ170" s="23" t="n">
        <f aca="false">'Qté 2027'!AJ170*$C170</f>
        <v>0</v>
      </c>
      <c r="AK170" s="23" t="n">
        <f aca="false">'Qté 2027'!AK170*$C170</f>
        <v>0</v>
      </c>
      <c r="AL170" s="23" t="n">
        <f aca="false">'Qté 2027'!AL170*$C170</f>
        <v>0</v>
      </c>
      <c r="AM170" s="23" t="n">
        <f aca="false">'Qté 2027'!AM170*$C170</f>
        <v>0</v>
      </c>
      <c r="AN170" s="23" t="n">
        <f aca="false">'Qté 2027'!AN170*$C170</f>
        <v>0</v>
      </c>
      <c r="AO170" s="23" t="n">
        <f aca="false">'Qté 2027'!AO170*$C170</f>
        <v>0</v>
      </c>
      <c r="AP170" s="23" t="n">
        <f aca="false">'Qté 2027'!AP170*$C170</f>
        <v>0</v>
      </c>
      <c r="AQ170" s="23" t="n">
        <f aca="false">'Qté 2027'!AQ170*$C170</f>
        <v>0</v>
      </c>
      <c r="AR170" s="23" t="n">
        <f aca="false">'Qté 2027'!AR170*$C170</f>
        <v>0</v>
      </c>
      <c r="AS170" s="23" t="n">
        <f aca="false">'Qté 2027'!AS170*$C170</f>
        <v>0</v>
      </c>
      <c r="AT170" s="23" t="n">
        <f aca="false">'Qté 2027'!AT170*$C170</f>
        <v>0</v>
      </c>
      <c r="AU170" s="23" t="n">
        <f aca="false">'Qté 2027'!AU170*$C170</f>
        <v>0</v>
      </c>
      <c r="AV170" s="23" t="n">
        <f aca="false">'Qté 2027'!AV170*$C170</f>
        <v>0</v>
      </c>
      <c r="AW170" s="23" t="n">
        <f aca="false">'Qté 2027'!AW170*$C170</f>
        <v>0</v>
      </c>
      <c r="AX170" s="23" t="n">
        <f aca="false">'Qté 2027'!AX170*$C170</f>
        <v>0</v>
      </c>
      <c r="AY170" s="23" t="n">
        <f aca="false">'Qté 2027'!AY170*$C170</f>
        <v>0</v>
      </c>
      <c r="AZ170" s="23" t="n">
        <f aca="false">'Qté 2027'!AZ170*$C170</f>
        <v>0</v>
      </c>
      <c r="BA170" s="23" t="n">
        <f aca="false">'Qté 2027'!BA170*$C170</f>
        <v>0</v>
      </c>
      <c r="BB170" s="23" t="n">
        <f aca="false">'Qté 2027'!BB170*$C170</f>
        <v>0</v>
      </c>
      <c r="BC170" s="23" t="n">
        <f aca="false">'Qté 2027'!BC170*$C170</f>
        <v>0</v>
      </c>
      <c r="BD170" s="15" t="n">
        <f aca="false">SUM(D170:BC170)</f>
        <v>6</v>
      </c>
    </row>
    <row r="171" customFormat="false" ht="15" hidden="false" customHeight="false" outlineLevel="0" collapsed="false">
      <c r="A171" s="5" t="s">
        <v>347</v>
      </c>
      <c r="B171" s="5" t="s">
        <v>45</v>
      </c>
      <c r="C171" s="22" t="n">
        <v>17.88</v>
      </c>
      <c r="D171" s="23" t="n">
        <f aca="false">'Qté 2027'!D171*$C171</f>
        <v>0</v>
      </c>
      <c r="E171" s="23" t="n">
        <f aca="false">'Qté 2027'!E171*$C171</f>
        <v>0</v>
      </c>
      <c r="F171" s="23" t="n">
        <f aca="false">'Qté 2027'!F171*$C171</f>
        <v>0</v>
      </c>
      <c r="G171" s="23" t="n">
        <f aca="false">'Qté 2027'!G171*$C171</f>
        <v>0</v>
      </c>
      <c r="H171" s="23" t="n">
        <f aca="false">'Qté 2027'!H171*$C171</f>
        <v>0</v>
      </c>
      <c r="I171" s="23" t="n">
        <f aca="false">'Qté 2027'!I171*$C171</f>
        <v>0</v>
      </c>
      <c r="J171" s="23" t="n">
        <f aca="false">'Qté 2027'!J171*$C171</f>
        <v>0</v>
      </c>
      <c r="K171" s="23" t="n">
        <f aca="false">'Qté 2027'!K171*$C171</f>
        <v>0</v>
      </c>
      <c r="L171" s="23" t="n">
        <f aca="false">'Qté 2027'!L171*$C171</f>
        <v>0</v>
      </c>
      <c r="M171" s="23" t="n">
        <f aca="false">'Qté 2027'!M171*$C171</f>
        <v>0</v>
      </c>
      <c r="N171" s="23" t="n">
        <f aca="false">'Qté 2027'!N171*$C171</f>
        <v>0</v>
      </c>
      <c r="O171" s="23" t="n">
        <f aca="false">'Qté 2027'!O171*$C171</f>
        <v>0</v>
      </c>
      <c r="P171" s="23" t="n">
        <f aca="false">'Qté 2027'!P171*$C171</f>
        <v>0</v>
      </c>
      <c r="Q171" s="23" t="n">
        <f aca="false">'Qté 2027'!Q171*$C171</f>
        <v>0</v>
      </c>
      <c r="R171" s="23" t="n">
        <f aca="false">'Qté 2027'!R171*$C171</f>
        <v>0</v>
      </c>
      <c r="S171" s="23" t="n">
        <f aca="false">'Qté 2027'!S171*$C171</f>
        <v>0</v>
      </c>
      <c r="T171" s="23" t="n">
        <f aca="false">'Qté 2027'!T171*$C171</f>
        <v>0</v>
      </c>
      <c r="U171" s="23" t="n">
        <f aca="false">'Qté 2027'!U171*$C171</f>
        <v>0</v>
      </c>
      <c r="V171" s="23" t="n">
        <f aca="false">'Qté 2027'!V171*$C171</f>
        <v>0</v>
      </c>
      <c r="W171" s="23" t="n">
        <f aca="false">'Qté 2027'!W171*$C171</f>
        <v>0</v>
      </c>
      <c r="X171" s="23" t="n">
        <f aca="false">'Qté 2027'!X171*$C171</f>
        <v>0</v>
      </c>
      <c r="Y171" s="23" t="n">
        <f aca="false">'Qté 2027'!Y171*$C171</f>
        <v>0</v>
      </c>
      <c r="Z171" s="23" t="n">
        <f aca="false">'Qté 2027'!Z171*$C171</f>
        <v>0</v>
      </c>
      <c r="AA171" s="23" t="n">
        <f aca="false">'Qté 2027'!AA171*$C171</f>
        <v>0</v>
      </c>
      <c r="AB171" s="23" t="n">
        <f aca="false">'Qté 2027'!AB171*$C171</f>
        <v>0</v>
      </c>
      <c r="AC171" s="23" t="n">
        <f aca="false">'Qté 2027'!AC171*$C171</f>
        <v>0</v>
      </c>
      <c r="AD171" s="23" t="n">
        <f aca="false">'Qté 2027'!AD171*$C171</f>
        <v>0</v>
      </c>
      <c r="AE171" s="23" t="n">
        <f aca="false">'Qté 2027'!AE171*$C171</f>
        <v>0</v>
      </c>
      <c r="AF171" s="23" t="n">
        <f aca="false">'Qté 2027'!AF171*$C171</f>
        <v>0</v>
      </c>
      <c r="AG171" s="23" t="n">
        <f aca="false">'Qté 2027'!AG171*$C171</f>
        <v>1.4304</v>
      </c>
      <c r="AH171" s="23" t="n">
        <f aca="false">'Qté 2027'!AH171*$C171</f>
        <v>3.0396</v>
      </c>
      <c r="AI171" s="23" t="n">
        <f aca="false">'Qté 2027'!AI171*$C171</f>
        <v>1.4304</v>
      </c>
      <c r="AJ171" s="23" t="n">
        <f aca="false">'Qté 2027'!AJ171*$C171</f>
        <v>0</v>
      </c>
      <c r="AK171" s="23" t="n">
        <f aca="false">'Qté 2027'!AK171*$C171</f>
        <v>0</v>
      </c>
      <c r="AL171" s="23" t="n">
        <f aca="false">'Qté 2027'!AL171*$C171</f>
        <v>0</v>
      </c>
      <c r="AM171" s="23" t="n">
        <f aca="false">'Qté 2027'!AM171*$C171</f>
        <v>0</v>
      </c>
      <c r="AN171" s="23" t="n">
        <f aca="false">'Qté 2027'!AN171*$C171</f>
        <v>0</v>
      </c>
      <c r="AO171" s="23" t="n">
        <f aca="false">'Qté 2027'!AO171*$C171</f>
        <v>0</v>
      </c>
      <c r="AP171" s="23" t="n">
        <f aca="false">'Qté 2027'!AP171*$C171</f>
        <v>0</v>
      </c>
      <c r="AQ171" s="23" t="n">
        <f aca="false">'Qté 2027'!AQ171*$C171</f>
        <v>0</v>
      </c>
      <c r="AR171" s="23" t="n">
        <f aca="false">'Qté 2027'!AR171*$C171</f>
        <v>0</v>
      </c>
      <c r="AS171" s="23" t="n">
        <f aca="false">'Qté 2027'!AS171*$C171</f>
        <v>0</v>
      </c>
      <c r="AT171" s="23" t="n">
        <f aca="false">'Qté 2027'!AT171*$C171</f>
        <v>0</v>
      </c>
      <c r="AU171" s="23" t="n">
        <f aca="false">'Qté 2027'!AU171*$C171</f>
        <v>0</v>
      </c>
      <c r="AV171" s="23" t="n">
        <f aca="false">'Qté 2027'!AV171*$C171</f>
        <v>0</v>
      </c>
      <c r="AW171" s="23" t="n">
        <f aca="false">'Qté 2027'!AW171*$C171</f>
        <v>0</v>
      </c>
      <c r="AX171" s="23" t="n">
        <f aca="false">'Qté 2027'!AX171*$C171</f>
        <v>0</v>
      </c>
      <c r="AY171" s="23" t="n">
        <f aca="false">'Qté 2027'!AY171*$C171</f>
        <v>0</v>
      </c>
      <c r="AZ171" s="23" t="n">
        <f aca="false">'Qté 2027'!AZ171*$C171</f>
        <v>0</v>
      </c>
      <c r="BA171" s="23" t="n">
        <f aca="false">'Qté 2027'!BA171*$C171</f>
        <v>0</v>
      </c>
      <c r="BB171" s="23" t="n">
        <f aca="false">'Qté 2027'!BB171*$C171</f>
        <v>0</v>
      </c>
      <c r="BC171" s="23" t="n">
        <f aca="false">'Qté 2027'!BC171*$C171</f>
        <v>0</v>
      </c>
      <c r="BD171" s="15" t="n">
        <f aca="false">SUM(D171:BC171)</f>
        <v>5.9004</v>
      </c>
    </row>
    <row r="172" customFormat="false" ht="15" hidden="false" customHeight="false" outlineLevel="0" collapsed="false">
      <c r="A172" s="5" t="s">
        <v>348</v>
      </c>
      <c r="B172" s="5" t="s">
        <v>45</v>
      </c>
      <c r="C172" s="22" t="n">
        <v>23.85</v>
      </c>
      <c r="D172" s="23" t="n">
        <f aca="false">'Qté 2027'!D172*$C172</f>
        <v>0</v>
      </c>
      <c r="E172" s="23" t="n">
        <f aca="false">'Qté 2027'!E172*$C172</f>
        <v>0</v>
      </c>
      <c r="F172" s="23" t="n">
        <f aca="false">'Qté 2027'!F172*$C172</f>
        <v>0</v>
      </c>
      <c r="G172" s="23" t="n">
        <f aca="false">'Qté 2027'!G172*$C172</f>
        <v>0</v>
      </c>
      <c r="H172" s="23" t="n">
        <f aca="false">'Qté 2027'!H172*$C172</f>
        <v>0</v>
      </c>
      <c r="I172" s="23" t="n">
        <f aca="false">'Qté 2027'!I172*$C172</f>
        <v>0</v>
      </c>
      <c r="J172" s="23" t="n">
        <f aca="false">'Qté 2027'!J172*$C172</f>
        <v>0</v>
      </c>
      <c r="K172" s="23" t="n">
        <f aca="false">'Qté 2027'!K172*$C172</f>
        <v>0</v>
      </c>
      <c r="L172" s="23" t="n">
        <f aca="false">'Qté 2027'!L172*$C172</f>
        <v>0</v>
      </c>
      <c r="M172" s="23" t="n">
        <f aca="false">'Qté 2027'!M172*$C172</f>
        <v>0</v>
      </c>
      <c r="N172" s="23" t="n">
        <f aca="false">'Qté 2027'!N172*$C172</f>
        <v>0</v>
      </c>
      <c r="O172" s="23" t="n">
        <f aca="false">'Qté 2027'!O172*$C172</f>
        <v>0</v>
      </c>
      <c r="P172" s="23" t="n">
        <f aca="false">'Qté 2027'!P172*$C172</f>
        <v>0</v>
      </c>
      <c r="Q172" s="23" t="n">
        <f aca="false">'Qté 2027'!Q172*$C172</f>
        <v>1.431</v>
      </c>
      <c r="R172" s="23" t="n">
        <f aca="false">'Qté 2027'!R172*$C172</f>
        <v>2.6235</v>
      </c>
      <c r="S172" s="23" t="n">
        <f aca="false">'Qté 2027'!S172*$C172</f>
        <v>1.431</v>
      </c>
      <c r="T172" s="23" t="n">
        <f aca="false">'Qté 2027'!T172*$C172</f>
        <v>0</v>
      </c>
      <c r="U172" s="23" t="n">
        <f aca="false">'Qté 2027'!U172*$C172</f>
        <v>0</v>
      </c>
      <c r="V172" s="23" t="n">
        <f aca="false">'Qté 2027'!V172*$C172</f>
        <v>0</v>
      </c>
      <c r="W172" s="23" t="n">
        <f aca="false">'Qté 2027'!W172*$C172</f>
        <v>0</v>
      </c>
      <c r="X172" s="23" t="n">
        <f aca="false">'Qté 2027'!X172*$C172</f>
        <v>0</v>
      </c>
      <c r="Y172" s="23" t="n">
        <f aca="false">'Qté 2027'!Y172*$C172</f>
        <v>0</v>
      </c>
      <c r="Z172" s="23" t="n">
        <f aca="false">'Qté 2027'!Z172*$C172</f>
        <v>0</v>
      </c>
      <c r="AA172" s="23" t="n">
        <f aca="false">'Qté 2027'!AA172*$C172</f>
        <v>0</v>
      </c>
      <c r="AB172" s="23" t="n">
        <f aca="false">'Qté 2027'!AB172*$C172</f>
        <v>0</v>
      </c>
      <c r="AC172" s="23" t="n">
        <f aca="false">'Qté 2027'!AC172*$C172</f>
        <v>0</v>
      </c>
      <c r="AD172" s="23" t="n">
        <f aca="false">'Qté 2027'!AD172*$C172</f>
        <v>0</v>
      </c>
      <c r="AE172" s="23" t="n">
        <f aca="false">'Qté 2027'!AE172*$C172</f>
        <v>0</v>
      </c>
      <c r="AF172" s="23" t="n">
        <f aca="false">'Qté 2027'!AF172*$C172</f>
        <v>0</v>
      </c>
      <c r="AG172" s="23" t="n">
        <f aca="false">'Qté 2027'!AG172*$C172</f>
        <v>0</v>
      </c>
      <c r="AH172" s="23" t="n">
        <f aca="false">'Qté 2027'!AH172*$C172</f>
        <v>0</v>
      </c>
      <c r="AI172" s="23" t="n">
        <f aca="false">'Qté 2027'!AI172*$C172</f>
        <v>0</v>
      </c>
      <c r="AJ172" s="23" t="n">
        <f aca="false">'Qté 2027'!AJ172*$C172</f>
        <v>0</v>
      </c>
      <c r="AK172" s="23" t="n">
        <f aca="false">'Qté 2027'!AK172*$C172</f>
        <v>0</v>
      </c>
      <c r="AL172" s="23" t="n">
        <f aca="false">'Qté 2027'!AL172*$C172</f>
        <v>0</v>
      </c>
      <c r="AM172" s="23" t="n">
        <f aca="false">'Qté 2027'!AM172*$C172</f>
        <v>0</v>
      </c>
      <c r="AN172" s="23" t="n">
        <f aca="false">'Qté 2027'!AN172*$C172</f>
        <v>0</v>
      </c>
      <c r="AO172" s="23" t="n">
        <f aca="false">'Qté 2027'!AO172*$C172</f>
        <v>0</v>
      </c>
      <c r="AP172" s="23" t="n">
        <f aca="false">'Qté 2027'!AP172*$C172</f>
        <v>0</v>
      </c>
      <c r="AQ172" s="23" t="n">
        <f aca="false">'Qté 2027'!AQ172*$C172</f>
        <v>0</v>
      </c>
      <c r="AR172" s="23" t="n">
        <f aca="false">'Qté 2027'!AR172*$C172</f>
        <v>0</v>
      </c>
      <c r="AS172" s="23" t="n">
        <f aca="false">'Qté 2027'!AS172*$C172</f>
        <v>0</v>
      </c>
      <c r="AT172" s="23" t="n">
        <f aca="false">'Qté 2027'!AT172*$C172</f>
        <v>0</v>
      </c>
      <c r="AU172" s="23" t="n">
        <f aca="false">'Qté 2027'!AU172*$C172</f>
        <v>0</v>
      </c>
      <c r="AV172" s="23" t="n">
        <f aca="false">'Qté 2027'!AV172*$C172</f>
        <v>0</v>
      </c>
      <c r="AW172" s="23" t="n">
        <f aca="false">'Qté 2027'!AW172*$C172</f>
        <v>0</v>
      </c>
      <c r="AX172" s="23" t="n">
        <f aca="false">'Qté 2027'!AX172*$C172</f>
        <v>0</v>
      </c>
      <c r="AY172" s="23" t="n">
        <f aca="false">'Qté 2027'!AY172*$C172</f>
        <v>0</v>
      </c>
      <c r="AZ172" s="23" t="n">
        <f aca="false">'Qté 2027'!AZ172*$C172</f>
        <v>0</v>
      </c>
      <c r="BA172" s="23" t="n">
        <f aca="false">'Qté 2027'!BA172*$C172</f>
        <v>0</v>
      </c>
      <c r="BB172" s="23" t="n">
        <f aca="false">'Qté 2027'!BB172*$C172</f>
        <v>0</v>
      </c>
      <c r="BC172" s="23" t="n">
        <f aca="false">'Qté 2027'!BC172*$C172</f>
        <v>0</v>
      </c>
      <c r="BD172" s="15" t="n">
        <f aca="false">SUM(D172:BC172)</f>
        <v>5.4855</v>
      </c>
    </row>
    <row r="173" customFormat="false" ht="15" hidden="false" customHeight="false" outlineLevel="0" collapsed="false">
      <c r="A173" s="5" t="s">
        <v>349</v>
      </c>
      <c r="B173" s="5" t="s">
        <v>57</v>
      </c>
      <c r="C173" s="22" t="n">
        <v>8.88</v>
      </c>
      <c r="D173" s="23" t="n">
        <f aca="false">'Qté 2027'!D173*$C173</f>
        <v>0</v>
      </c>
      <c r="E173" s="23" t="n">
        <f aca="false">'Qté 2027'!E173*$C173</f>
        <v>0</v>
      </c>
      <c r="F173" s="23" t="n">
        <f aca="false">'Qté 2027'!F173*$C173</f>
        <v>0</v>
      </c>
      <c r="G173" s="23" t="n">
        <f aca="false">'Qté 2027'!G173*$C173</f>
        <v>0</v>
      </c>
      <c r="H173" s="23" t="n">
        <f aca="false">'Qté 2027'!H173*$C173</f>
        <v>0</v>
      </c>
      <c r="I173" s="23" t="n">
        <f aca="false">'Qté 2027'!I173*$C173</f>
        <v>0</v>
      </c>
      <c r="J173" s="23" t="n">
        <f aca="false">'Qté 2027'!J173*$C173</f>
        <v>0</v>
      </c>
      <c r="K173" s="23" t="n">
        <f aca="false">'Qté 2027'!K173*$C173</f>
        <v>0</v>
      </c>
      <c r="L173" s="23" t="n">
        <f aca="false">'Qté 2027'!L173*$C173</f>
        <v>0</v>
      </c>
      <c r="M173" s="23" t="n">
        <f aca="false">'Qté 2027'!M173*$C173</f>
        <v>0</v>
      </c>
      <c r="N173" s="23" t="n">
        <f aca="false">'Qté 2027'!N173*$C173</f>
        <v>0</v>
      </c>
      <c r="O173" s="23" t="n">
        <f aca="false">'Qté 2027'!O173*$C173</f>
        <v>0</v>
      </c>
      <c r="P173" s="23" t="n">
        <f aca="false">'Qté 2027'!P173*$C173</f>
        <v>0</v>
      </c>
      <c r="Q173" s="23" t="n">
        <f aca="false">'Qté 2027'!Q173*$C173</f>
        <v>0</v>
      </c>
      <c r="R173" s="23" t="n">
        <f aca="false">'Qté 2027'!R173*$C173</f>
        <v>0</v>
      </c>
      <c r="S173" s="23" t="n">
        <f aca="false">'Qté 2027'!S173*$C173</f>
        <v>0</v>
      </c>
      <c r="T173" s="23" t="n">
        <f aca="false">'Qté 2027'!T173*$C173</f>
        <v>0</v>
      </c>
      <c r="U173" s="23" t="n">
        <f aca="false">'Qté 2027'!U173*$C173</f>
        <v>0</v>
      </c>
      <c r="V173" s="23" t="n">
        <f aca="false">'Qté 2027'!V173*$C173</f>
        <v>0</v>
      </c>
      <c r="W173" s="23" t="n">
        <f aca="false">'Qté 2027'!W173*$C173</f>
        <v>0</v>
      </c>
      <c r="X173" s="23" t="n">
        <f aca="false">'Qté 2027'!X173*$C173</f>
        <v>0</v>
      </c>
      <c r="Y173" s="23" t="n">
        <f aca="false">'Qté 2027'!Y173*$C173</f>
        <v>0</v>
      </c>
      <c r="Z173" s="23" t="n">
        <f aca="false">'Qté 2027'!Z173*$C173</f>
        <v>0.5328</v>
      </c>
      <c r="AA173" s="23" t="n">
        <f aca="false">'Qté 2027'!AA173*$C173</f>
        <v>0.9768</v>
      </c>
      <c r="AB173" s="23" t="n">
        <f aca="false">'Qté 2027'!AB173*$C173</f>
        <v>0.5328</v>
      </c>
      <c r="AC173" s="23" t="n">
        <f aca="false">'Qté 2027'!AC173*$C173</f>
        <v>0.7992</v>
      </c>
      <c r="AD173" s="23" t="n">
        <f aca="false">'Qté 2027'!AD173*$C173</f>
        <v>1.5984</v>
      </c>
      <c r="AE173" s="23" t="n">
        <f aca="false">'Qté 2027'!AE173*$C173</f>
        <v>0.7992</v>
      </c>
      <c r="AF173" s="23" t="n">
        <f aca="false">'Qté 2027'!AF173*$C173</f>
        <v>0</v>
      </c>
      <c r="AG173" s="23" t="n">
        <f aca="false">'Qté 2027'!AG173*$C173</f>
        <v>0</v>
      </c>
      <c r="AH173" s="23" t="n">
        <f aca="false">'Qté 2027'!AH173*$C173</f>
        <v>0</v>
      </c>
      <c r="AI173" s="23" t="n">
        <f aca="false">'Qté 2027'!AI173*$C173</f>
        <v>0</v>
      </c>
      <c r="AJ173" s="23" t="n">
        <f aca="false">'Qté 2027'!AJ173*$C173</f>
        <v>0</v>
      </c>
      <c r="AK173" s="23" t="n">
        <f aca="false">'Qté 2027'!AK173*$C173</f>
        <v>0</v>
      </c>
      <c r="AL173" s="23" t="n">
        <f aca="false">'Qté 2027'!AL173*$C173</f>
        <v>0</v>
      </c>
      <c r="AM173" s="23" t="n">
        <f aca="false">'Qté 2027'!AM173*$C173</f>
        <v>0</v>
      </c>
      <c r="AN173" s="23" t="n">
        <f aca="false">'Qté 2027'!AN173*$C173</f>
        <v>0</v>
      </c>
      <c r="AO173" s="23" t="n">
        <f aca="false">'Qté 2027'!AO173*$C173</f>
        <v>0</v>
      </c>
      <c r="AP173" s="23" t="n">
        <f aca="false">'Qté 2027'!AP173*$C173</f>
        <v>0</v>
      </c>
      <c r="AQ173" s="23" t="n">
        <f aca="false">'Qté 2027'!AQ173*$C173</f>
        <v>0</v>
      </c>
      <c r="AR173" s="23" t="n">
        <f aca="false">'Qté 2027'!AR173*$C173</f>
        <v>0</v>
      </c>
      <c r="AS173" s="23" t="n">
        <f aca="false">'Qté 2027'!AS173*$C173</f>
        <v>0</v>
      </c>
      <c r="AT173" s="23" t="n">
        <f aca="false">'Qté 2027'!AT173*$C173</f>
        <v>0</v>
      </c>
      <c r="AU173" s="23" t="n">
        <f aca="false">'Qté 2027'!AU173*$C173</f>
        <v>0</v>
      </c>
      <c r="AV173" s="23" t="n">
        <f aca="false">'Qté 2027'!AV173*$C173</f>
        <v>0</v>
      </c>
      <c r="AW173" s="23" t="n">
        <f aca="false">'Qté 2027'!AW173*$C173</f>
        <v>0</v>
      </c>
      <c r="AX173" s="23" t="n">
        <f aca="false">'Qté 2027'!AX173*$C173</f>
        <v>0</v>
      </c>
      <c r="AY173" s="23" t="n">
        <f aca="false">'Qté 2027'!AY173*$C173</f>
        <v>0</v>
      </c>
      <c r="AZ173" s="23" t="n">
        <f aca="false">'Qté 2027'!AZ173*$C173</f>
        <v>0</v>
      </c>
      <c r="BA173" s="23" t="n">
        <f aca="false">'Qté 2027'!BA173*$C173</f>
        <v>0</v>
      </c>
      <c r="BB173" s="23" t="n">
        <f aca="false">'Qté 2027'!BB173*$C173</f>
        <v>0</v>
      </c>
      <c r="BC173" s="23" t="n">
        <f aca="false">'Qté 2027'!BC173*$C173</f>
        <v>0</v>
      </c>
      <c r="BD173" s="15" t="n">
        <f aca="false">SUM(D173:BC173)</f>
        <v>5.2392</v>
      </c>
    </row>
    <row r="174" customFormat="false" ht="15" hidden="false" customHeight="false" outlineLevel="0" collapsed="false">
      <c r="A174" s="5" t="s">
        <v>350</v>
      </c>
      <c r="B174" s="5" t="s">
        <v>54</v>
      </c>
      <c r="C174" s="22" t="n">
        <v>8.58</v>
      </c>
      <c r="D174" s="23" t="n">
        <f aca="false">'Qté 2027'!D174*$C174</f>
        <v>0</v>
      </c>
      <c r="E174" s="23" t="n">
        <f aca="false">'Qté 2027'!E174*$C174</f>
        <v>0</v>
      </c>
      <c r="F174" s="23" t="n">
        <f aca="false">'Qté 2027'!F174*$C174</f>
        <v>0</v>
      </c>
      <c r="G174" s="23" t="n">
        <f aca="false">'Qté 2027'!G174*$C174</f>
        <v>0</v>
      </c>
      <c r="H174" s="23" t="n">
        <f aca="false">'Qté 2027'!H174*$C174</f>
        <v>0</v>
      </c>
      <c r="I174" s="23" t="n">
        <f aca="false">'Qté 2027'!I174*$C174</f>
        <v>0</v>
      </c>
      <c r="J174" s="23" t="n">
        <f aca="false">'Qté 2027'!J174*$C174</f>
        <v>0</v>
      </c>
      <c r="K174" s="23" t="n">
        <f aca="false">'Qté 2027'!K174*$C174</f>
        <v>0</v>
      </c>
      <c r="L174" s="23" t="n">
        <f aca="false">'Qté 2027'!L174*$C174</f>
        <v>0</v>
      </c>
      <c r="M174" s="23" t="n">
        <f aca="false">'Qté 2027'!M174*$C174</f>
        <v>0</v>
      </c>
      <c r="N174" s="23" t="n">
        <f aca="false">'Qté 2027'!N174*$C174</f>
        <v>0</v>
      </c>
      <c r="O174" s="23" t="n">
        <f aca="false">'Qté 2027'!O174*$C174</f>
        <v>0</v>
      </c>
      <c r="P174" s="23" t="n">
        <f aca="false">'Qté 2027'!P174*$C174</f>
        <v>0</v>
      </c>
      <c r="Q174" s="23" t="n">
        <f aca="false">'Qté 2027'!Q174*$C174</f>
        <v>0</v>
      </c>
      <c r="R174" s="23" t="n">
        <f aca="false">'Qté 2027'!R174*$C174</f>
        <v>0</v>
      </c>
      <c r="S174" s="23" t="n">
        <f aca="false">'Qté 2027'!S174*$C174</f>
        <v>0</v>
      </c>
      <c r="T174" s="23" t="n">
        <f aca="false">'Qté 2027'!T174*$C174</f>
        <v>0</v>
      </c>
      <c r="U174" s="23" t="n">
        <f aca="false">'Qté 2027'!U174*$C174</f>
        <v>0</v>
      </c>
      <c r="V174" s="23" t="n">
        <f aca="false">'Qté 2027'!V174*$C174</f>
        <v>0.2574</v>
      </c>
      <c r="W174" s="23" t="n">
        <f aca="false">'Qté 2027'!W174*$C174</f>
        <v>0.6006</v>
      </c>
      <c r="X174" s="23" t="n">
        <f aca="false">'Qté 2027'!X174*$C174</f>
        <v>0.2574</v>
      </c>
      <c r="Y174" s="23" t="n">
        <f aca="false">'Qté 2027'!Y174*$C174</f>
        <v>0.2574</v>
      </c>
      <c r="Z174" s="23" t="n">
        <f aca="false">'Qté 2027'!Z174*$C174</f>
        <v>0.6006</v>
      </c>
      <c r="AA174" s="23" t="n">
        <f aca="false">'Qté 2027'!AA174*$C174</f>
        <v>0.2574</v>
      </c>
      <c r="AB174" s="23" t="n">
        <f aca="false">'Qté 2027'!AB174*$C174</f>
        <v>0.6864</v>
      </c>
      <c r="AC174" s="23" t="n">
        <f aca="false">'Qté 2027'!AC174*$C174</f>
        <v>1.3728</v>
      </c>
      <c r="AD174" s="23" t="n">
        <f aca="false">'Qté 2027'!AD174*$C174</f>
        <v>0.6864</v>
      </c>
      <c r="AE174" s="23" t="n">
        <f aca="false">'Qté 2027'!AE174*$C174</f>
        <v>0</v>
      </c>
      <c r="AF174" s="23" t="n">
        <f aca="false">'Qté 2027'!AF174*$C174</f>
        <v>0</v>
      </c>
      <c r="AG174" s="23" t="n">
        <f aca="false">'Qté 2027'!AG174*$C174</f>
        <v>0</v>
      </c>
      <c r="AH174" s="23" t="n">
        <f aca="false">'Qté 2027'!AH174*$C174</f>
        <v>0</v>
      </c>
      <c r="AI174" s="23" t="n">
        <f aca="false">'Qté 2027'!AI174*$C174</f>
        <v>0</v>
      </c>
      <c r="AJ174" s="23" t="n">
        <f aca="false">'Qté 2027'!AJ174*$C174</f>
        <v>0</v>
      </c>
      <c r="AK174" s="23" t="n">
        <f aca="false">'Qté 2027'!AK174*$C174</f>
        <v>0</v>
      </c>
      <c r="AL174" s="23" t="n">
        <f aca="false">'Qté 2027'!AL174*$C174</f>
        <v>0</v>
      </c>
      <c r="AM174" s="23" t="n">
        <f aca="false">'Qté 2027'!AM174*$C174</f>
        <v>0</v>
      </c>
      <c r="AN174" s="23" t="n">
        <f aca="false">'Qté 2027'!AN174*$C174</f>
        <v>0</v>
      </c>
      <c r="AO174" s="23" t="n">
        <f aca="false">'Qté 2027'!AO174*$C174</f>
        <v>0</v>
      </c>
      <c r="AP174" s="23" t="n">
        <f aca="false">'Qté 2027'!AP174*$C174</f>
        <v>0</v>
      </c>
      <c r="AQ174" s="23" t="n">
        <f aca="false">'Qté 2027'!AQ174*$C174</f>
        <v>0</v>
      </c>
      <c r="AR174" s="23" t="n">
        <f aca="false">'Qté 2027'!AR174*$C174</f>
        <v>0</v>
      </c>
      <c r="AS174" s="23" t="n">
        <f aca="false">'Qté 2027'!AS174*$C174</f>
        <v>0</v>
      </c>
      <c r="AT174" s="23" t="n">
        <f aca="false">'Qté 2027'!AT174*$C174</f>
        <v>0</v>
      </c>
      <c r="AU174" s="23" t="n">
        <f aca="false">'Qté 2027'!AU174*$C174</f>
        <v>0</v>
      </c>
      <c r="AV174" s="23" t="n">
        <f aca="false">'Qté 2027'!AV174*$C174</f>
        <v>0</v>
      </c>
      <c r="AW174" s="23" t="n">
        <f aca="false">'Qté 2027'!AW174*$C174</f>
        <v>0</v>
      </c>
      <c r="AX174" s="23" t="n">
        <f aca="false">'Qté 2027'!AX174*$C174</f>
        <v>0</v>
      </c>
      <c r="AY174" s="23" t="n">
        <f aca="false">'Qté 2027'!AY174*$C174</f>
        <v>0</v>
      </c>
      <c r="AZ174" s="23" t="n">
        <f aca="false">'Qté 2027'!AZ174*$C174</f>
        <v>0</v>
      </c>
      <c r="BA174" s="23" t="n">
        <f aca="false">'Qté 2027'!BA174*$C174</f>
        <v>0</v>
      </c>
      <c r="BB174" s="23" t="n">
        <f aca="false">'Qté 2027'!BB174*$C174</f>
        <v>0</v>
      </c>
      <c r="BC174" s="23" t="n">
        <f aca="false">'Qté 2027'!BC174*$C174</f>
        <v>0</v>
      </c>
      <c r="BD174" s="15" t="n">
        <f aca="false">SUM(D174:BC174)</f>
        <v>4.9764</v>
      </c>
    </row>
    <row r="175" customFormat="false" ht="15" hidden="false" customHeight="false" outlineLevel="0" collapsed="false">
      <c r="A175" s="5" t="s">
        <v>351</v>
      </c>
      <c r="B175" s="5" t="s">
        <v>69</v>
      </c>
      <c r="C175" s="22" t="n">
        <v>20.45</v>
      </c>
      <c r="D175" s="23" t="n">
        <f aca="false">'Qté 2027'!D175*$C175</f>
        <v>0</v>
      </c>
      <c r="E175" s="23" t="n">
        <f aca="false">'Qté 2027'!E175*$C175</f>
        <v>0</v>
      </c>
      <c r="F175" s="23" t="n">
        <f aca="false">'Qté 2027'!F175*$C175</f>
        <v>0</v>
      </c>
      <c r="G175" s="23" t="n">
        <f aca="false">'Qté 2027'!G175*$C175</f>
        <v>0</v>
      </c>
      <c r="H175" s="23" t="n">
        <f aca="false">'Qté 2027'!H175*$C175</f>
        <v>0</v>
      </c>
      <c r="I175" s="23" t="n">
        <f aca="false">'Qté 2027'!I175*$C175</f>
        <v>0</v>
      </c>
      <c r="J175" s="23" t="n">
        <f aca="false">'Qté 2027'!J175*$C175</f>
        <v>0</v>
      </c>
      <c r="K175" s="23" t="n">
        <f aca="false">'Qté 2027'!K175*$C175</f>
        <v>0</v>
      </c>
      <c r="L175" s="23" t="n">
        <f aca="false">'Qté 2027'!L175*$C175</f>
        <v>0</v>
      </c>
      <c r="M175" s="23" t="n">
        <f aca="false">'Qté 2027'!M175*$C175</f>
        <v>0</v>
      </c>
      <c r="N175" s="23" t="n">
        <f aca="false">'Qté 2027'!N175*$C175</f>
        <v>0</v>
      </c>
      <c r="O175" s="23" t="n">
        <f aca="false">'Qté 2027'!O175*$C175</f>
        <v>0</v>
      </c>
      <c r="P175" s="23" t="n">
        <f aca="false">'Qté 2027'!P175*$C175</f>
        <v>0</v>
      </c>
      <c r="Q175" s="23" t="n">
        <f aca="false">'Qté 2027'!Q175*$C175</f>
        <v>1.227</v>
      </c>
      <c r="R175" s="23" t="n">
        <f aca="false">'Qté 2027'!R175*$C175</f>
        <v>2.2495</v>
      </c>
      <c r="S175" s="23" t="n">
        <f aca="false">'Qté 2027'!S175*$C175</f>
        <v>1.227</v>
      </c>
      <c r="T175" s="23" t="n">
        <f aca="false">'Qté 2027'!T175*$C175</f>
        <v>0</v>
      </c>
      <c r="U175" s="23" t="n">
        <f aca="false">'Qté 2027'!U175*$C175</f>
        <v>0</v>
      </c>
      <c r="V175" s="23" t="n">
        <f aca="false">'Qté 2027'!V175*$C175</f>
        <v>0</v>
      </c>
      <c r="W175" s="23" t="n">
        <f aca="false">'Qté 2027'!W175*$C175</f>
        <v>0</v>
      </c>
      <c r="X175" s="23" t="n">
        <f aca="false">'Qté 2027'!X175*$C175</f>
        <v>0</v>
      </c>
      <c r="Y175" s="23" t="n">
        <f aca="false">'Qté 2027'!Y175*$C175</f>
        <v>0</v>
      </c>
      <c r="Z175" s="23" t="n">
        <f aca="false">'Qté 2027'!Z175*$C175</f>
        <v>0</v>
      </c>
      <c r="AA175" s="23" t="n">
        <f aca="false">'Qté 2027'!AA175*$C175</f>
        <v>0</v>
      </c>
      <c r="AB175" s="23" t="n">
        <f aca="false">'Qté 2027'!AB175*$C175</f>
        <v>0</v>
      </c>
      <c r="AC175" s="23" t="n">
        <f aca="false">'Qté 2027'!AC175*$C175</f>
        <v>0</v>
      </c>
      <c r="AD175" s="23" t="n">
        <f aca="false">'Qté 2027'!AD175*$C175</f>
        <v>0</v>
      </c>
      <c r="AE175" s="23" t="n">
        <f aca="false">'Qté 2027'!AE175*$C175</f>
        <v>0</v>
      </c>
      <c r="AF175" s="23" t="n">
        <f aca="false">'Qté 2027'!AF175*$C175</f>
        <v>0</v>
      </c>
      <c r="AG175" s="23" t="n">
        <f aca="false">'Qté 2027'!AG175*$C175</f>
        <v>0</v>
      </c>
      <c r="AH175" s="23" t="n">
        <f aca="false">'Qté 2027'!AH175*$C175</f>
        <v>0</v>
      </c>
      <c r="AI175" s="23" t="n">
        <f aca="false">'Qté 2027'!AI175*$C175</f>
        <v>0</v>
      </c>
      <c r="AJ175" s="23" t="n">
        <f aca="false">'Qté 2027'!AJ175*$C175</f>
        <v>0</v>
      </c>
      <c r="AK175" s="23" t="n">
        <f aca="false">'Qté 2027'!AK175*$C175</f>
        <v>0</v>
      </c>
      <c r="AL175" s="23" t="n">
        <f aca="false">'Qté 2027'!AL175*$C175</f>
        <v>0</v>
      </c>
      <c r="AM175" s="23" t="n">
        <f aca="false">'Qté 2027'!AM175*$C175</f>
        <v>0</v>
      </c>
      <c r="AN175" s="23" t="n">
        <f aca="false">'Qté 2027'!AN175*$C175</f>
        <v>0</v>
      </c>
      <c r="AO175" s="23" t="n">
        <f aca="false">'Qté 2027'!AO175*$C175</f>
        <v>0</v>
      </c>
      <c r="AP175" s="23" t="n">
        <f aca="false">'Qté 2027'!AP175*$C175</f>
        <v>0</v>
      </c>
      <c r="AQ175" s="23" t="n">
        <f aca="false">'Qté 2027'!AQ175*$C175</f>
        <v>0</v>
      </c>
      <c r="AR175" s="23" t="n">
        <f aca="false">'Qté 2027'!AR175*$C175</f>
        <v>0</v>
      </c>
      <c r="AS175" s="23" t="n">
        <f aca="false">'Qté 2027'!AS175*$C175</f>
        <v>0</v>
      </c>
      <c r="AT175" s="23" t="n">
        <f aca="false">'Qté 2027'!AT175*$C175</f>
        <v>0</v>
      </c>
      <c r="AU175" s="23" t="n">
        <f aca="false">'Qté 2027'!AU175*$C175</f>
        <v>0</v>
      </c>
      <c r="AV175" s="23" t="n">
        <f aca="false">'Qté 2027'!AV175*$C175</f>
        <v>0</v>
      </c>
      <c r="AW175" s="23" t="n">
        <f aca="false">'Qté 2027'!AW175*$C175</f>
        <v>0</v>
      </c>
      <c r="AX175" s="23" t="n">
        <f aca="false">'Qté 2027'!AX175*$C175</f>
        <v>0</v>
      </c>
      <c r="AY175" s="23" t="n">
        <f aca="false">'Qté 2027'!AY175*$C175</f>
        <v>0</v>
      </c>
      <c r="AZ175" s="23" t="n">
        <f aca="false">'Qté 2027'!AZ175*$C175</f>
        <v>0</v>
      </c>
      <c r="BA175" s="23" t="n">
        <f aca="false">'Qté 2027'!BA175*$C175</f>
        <v>0</v>
      </c>
      <c r="BB175" s="23" t="n">
        <f aca="false">'Qté 2027'!BB175*$C175</f>
        <v>0</v>
      </c>
      <c r="BC175" s="23" t="n">
        <f aca="false">'Qté 2027'!BC175*$C175</f>
        <v>0</v>
      </c>
      <c r="BD175" s="15" t="n">
        <f aca="false">SUM(D175:BC175)</f>
        <v>4.7035</v>
      </c>
    </row>
    <row r="176" customFormat="false" ht="15" hidden="false" customHeight="false" outlineLevel="0" collapsed="false">
      <c r="A176" s="5" t="s">
        <v>352</v>
      </c>
      <c r="B176" s="5" t="s">
        <v>45</v>
      </c>
      <c r="C176" s="22" t="n">
        <v>19.84</v>
      </c>
      <c r="D176" s="23" t="n">
        <f aca="false">'Qté 2027'!D176*$C176</f>
        <v>0</v>
      </c>
      <c r="E176" s="23" t="n">
        <f aca="false">'Qté 2027'!E176*$C176</f>
        <v>0</v>
      </c>
      <c r="F176" s="23" t="n">
        <f aca="false">'Qté 2027'!F176*$C176</f>
        <v>0</v>
      </c>
      <c r="G176" s="23" t="n">
        <f aca="false">'Qté 2027'!G176*$C176</f>
        <v>0</v>
      </c>
      <c r="H176" s="23" t="n">
        <f aca="false">'Qté 2027'!H176*$C176</f>
        <v>0</v>
      </c>
      <c r="I176" s="23" t="n">
        <f aca="false">'Qté 2027'!I176*$C176</f>
        <v>0</v>
      </c>
      <c r="J176" s="23" t="n">
        <f aca="false">'Qté 2027'!J176*$C176</f>
        <v>0</v>
      </c>
      <c r="K176" s="23" t="n">
        <f aca="false">'Qté 2027'!K176*$C176</f>
        <v>0</v>
      </c>
      <c r="L176" s="23" t="n">
        <f aca="false">'Qté 2027'!L176*$C176</f>
        <v>0</v>
      </c>
      <c r="M176" s="23" t="n">
        <f aca="false">'Qté 2027'!M176*$C176</f>
        <v>0</v>
      </c>
      <c r="N176" s="23" t="n">
        <f aca="false">'Qté 2027'!N176*$C176</f>
        <v>0</v>
      </c>
      <c r="O176" s="23" t="n">
        <f aca="false">'Qté 2027'!O176*$C176</f>
        <v>0</v>
      </c>
      <c r="P176" s="23" t="n">
        <f aca="false">'Qté 2027'!P176*$C176</f>
        <v>0</v>
      </c>
      <c r="Q176" s="23" t="n">
        <f aca="false">'Qté 2027'!Q176*$C176</f>
        <v>1.1904</v>
      </c>
      <c r="R176" s="23" t="n">
        <f aca="false">'Qté 2027'!R176*$C176</f>
        <v>2.1824</v>
      </c>
      <c r="S176" s="23" t="n">
        <f aca="false">'Qté 2027'!S176*$C176</f>
        <v>1.1904</v>
      </c>
      <c r="T176" s="23" t="n">
        <f aca="false">'Qté 2027'!T176*$C176</f>
        <v>0</v>
      </c>
      <c r="U176" s="23" t="n">
        <f aca="false">'Qté 2027'!U176*$C176</f>
        <v>0</v>
      </c>
      <c r="V176" s="23" t="n">
        <f aca="false">'Qté 2027'!V176*$C176</f>
        <v>0</v>
      </c>
      <c r="W176" s="23" t="n">
        <f aca="false">'Qté 2027'!W176*$C176</f>
        <v>0</v>
      </c>
      <c r="X176" s="23" t="n">
        <f aca="false">'Qté 2027'!X176*$C176</f>
        <v>0</v>
      </c>
      <c r="Y176" s="23" t="n">
        <f aca="false">'Qté 2027'!Y176*$C176</f>
        <v>0</v>
      </c>
      <c r="Z176" s="23" t="n">
        <f aca="false">'Qté 2027'!Z176*$C176</f>
        <v>0</v>
      </c>
      <c r="AA176" s="23" t="n">
        <f aca="false">'Qté 2027'!AA176*$C176</f>
        <v>0</v>
      </c>
      <c r="AB176" s="23" t="n">
        <f aca="false">'Qté 2027'!AB176*$C176</f>
        <v>0</v>
      </c>
      <c r="AC176" s="23" t="n">
        <f aca="false">'Qté 2027'!AC176*$C176</f>
        <v>0</v>
      </c>
      <c r="AD176" s="23" t="n">
        <f aca="false">'Qté 2027'!AD176*$C176</f>
        <v>0</v>
      </c>
      <c r="AE176" s="23" t="n">
        <f aca="false">'Qté 2027'!AE176*$C176</f>
        <v>0</v>
      </c>
      <c r="AF176" s="23" t="n">
        <f aca="false">'Qté 2027'!AF176*$C176</f>
        <v>0</v>
      </c>
      <c r="AG176" s="23" t="n">
        <f aca="false">'Qté 2027'!AG176*$C176</f>
        <v>0</v>
      </c>
      <c r="AH176" s="23" t="n">
        <f aca="false">'Qté 2027'!AH176*$C176</f>
        <v>0</v>
      </c>
      <c r="AI176" s="23" t="n">
        <f aca="false">'Qté 2027'!AI176*$C176</f>
        <v>0</v>
      </c>
      <c r="AJ176" s="23" t="n">
        <f aca="false">'Qté 2027'!AJ176*$C176</f>
        <v>0</v>
      </c>
      <c r="AK176" s="23" t="n">
        <f aca="false">'Qté 2027'!AK176*$C176</f>
        <v>0</v>
      </c>
      <c r="AL176" s="23" t="n">
        <f aca="false">'Qté 2027'!AL176*$C176</f>
        <v>0</v>
      </c>
      <c r="AM176" s="23" t="n">
        <f aca="false">'Qté 2027'!AM176*$C176</f>
        <v>0</v>
      </c>
      <c r="AN176" s="23" t="n">
        <f aca="false">'Qté 2027'!AN176*$C176</f>
        <v>0</v>
      </c>
      <c r="AO176" s="23" t="n">
        <f aca="false">'Qté 2027'!AO176*$C176</f>
        <v>0</v>
      </c>
      <c r="AP176" s="23" t="n">
        <f aca="false">'Qté 2027'!AP176*$C176</f>
        <v>0</v>
      </c>
      <c r="AQ176" s="23" t="n">
        <f aca="false">'Qté 2027'!AQ176*$C176</f>
        <v>0</v>
      </c>
      <c r="AR176" s="23" t="n">
        <f aca="false">'Qté 2027'!AR176*$C176</f>
        <v>0</v>
      </c>
      <c r="AS176" s="23" t="n">
        <f aca="false">'Qté 2027'!AS176*$C176</f>
        <v>0</v>
      </c>
      <c r="AT176" s="23" t="n">
        <f aca="false">'Qté 2027'!AT176*$C176</f>
        <v>0</v>
      </c>
      <c r="AU176" s="23" t="n">
        <f aca="false">'Qté 2027'!AU176*$C176</f>
        <v>0</v>
      </c>
      <c r="AV176" s="23" t="n">
        <f aca="false">'Qté 2027'!AV176*$C176</f>
        <v>0</v>
      </c>
      <c r="AW176" s="23" t="n">
        <f aca="false">'Qté 2027'!AW176*$C176</f>
        <v>0</v>
      </c>
      <c r="AX176" s="23" t="n">
        <f aca="false">'Qté 2027'!AX176*$C176</f>
        <v>0</v>
      </c>
      <c r="AY176" s="23" t="n">
        <f aca="false">'Qté 2027'!AY176*$C176</f>
        <v>0</v>
      </c>
      <c r="AZ176" s="23" t="n">
        <f aca="false">'Qté 2027'!AZ176*$C176</f>
        <v>0</v>
      </c>
      <c r="BA176" s="23" t="n">
        <f aca="false">'Qté 2027'!BA176*$C176</f>
        <v>0</v>
      </c>
      <c r="BB176" s="23" t="n">
        <f aca="false">'Qté 2027'!BB176*$C176</f>
        <v>0</v>
      </c>
      <c r="BC176" s="23" t="n">
        <f aca="false">'Qté 2027'!BC176*$C176</f>
        <v>0</v>
      </c>
      <c r="BD176" s="15" t="n">
        <f aca="false">SUM(D176:BC176)</f>
        <v>4.5632</v>
      </c>
    </row>
    <row r="177" customFormat="false" ht="15" hidden="false" customHeight="false" outlineLevel="0" collapsed="false">
      <c r="A177" s="5" t="s">
        <v>353</v>
      </c>
      <c r="B177" s="5" t="s">
        <v>48</v>
      </c>
      <c r="C177" s="22" t="n">
        <v>4.02</v>
      </c>
      <c r="D177" s="23" t="n">
        <f aca="false">'Qté 2027'!D177*$C177</f>
        <v>0</v>
      </c>
      <c r="E177" s="23" t="n">
        <f aca="false">'Qté 2027'!E177*$C177</f>
        <v>0</v>
      </c>
      <c r="F177" s="23" t="n">
        <f aca="false">'Qté 2027'!F177*$C177</f>
        <v>0</v>
      </c>
      <c r="G177" s="23" t="n">
        <f aca="false">'Qté 2027'!G177*$C177</f>
        <v>0</v>
      </c>
      <c r="H177" s="23" t="n">
        <f aca="false">'Qté 2027'!H177*$C177</f>
        <v>0</v>
      </c>
      <c r="I177" s="23" t="n">
        <f aca="false">'Qté 2027'!I177*$C177</f>
        <v>0</v>
      </c>
      <c r="J177" s="23" t="n">
        <f aca="false">'Qté 2027'!J177*$C177</f>
        <v>0</v>
      </c>
      <c r="K177" s="23" t="n">
        <f aca="false">'Qté 2027'!K177*$C177</f>
        <v>0</v>
      </c>
      <c r="L177" s="23" t="n">
        <f aca="false">'Qté 2027'!L177*$C177</f>
        <v>0</v>
      </c>
      <c r="M177" s="23" t="n">
        <f aca="false">'Qté 2027'!M177*$C177</f>
        <v>0.2412</v>
      </c>
      <c r="N177" s="23" t="n">
        <f aca="false">'Qté 2027'!N177*$C177</f>
        <v>0.4422</v>
      </c>
      <c r="O177" s="23" t="n">
        <f aca="false">'Qté 2027'!O177*$C177</f>
        <v>0.2412</v>
      </c>
      <c r="P177" s="23" t="n">
        <f aca="false">'Qté 2027'!P177*$C177</f>
        <v>0</v>
      </c>
      <c r="Q177" s="23" t="n">
        <f aca="false">'Qté 2027'!Q177*$C177</f>
        <v>0</v>
      </c>
      <c r="R177" s="23" t="n">
        <f aca="false">'Qté 2027'!R177*$C177</f>
        <v>0</v>
      </c>
      <c r="S177" s="23" t="n">
        <f aca="false">'Qté 2027'!S177*$C177</f>
        <v>0</v>
      </c>
      <c r="T177" s="23" t="n">
        <f aca="false">'Qté 2027'!T177*$C177</f>
        <v>0</v>
      </c>
      <c r="U177" s="23" t="n">
        <f aca="false">'Qté 2027'!U177*$C177</f>
        <v>0</v>
      </c>
      <c r="V177" s="23" t="n">
        <f aca="false">'Qté 2027'!V177*$C177</f>
        <v>0</v>
      </c>
      <c r="W177" s="23" t="n">
        <f aca="false">'Qté 2027'!W177*$C177</f>
        <v>0</v>
      </c>
      <c r="X177" s="23" t="n">
        <f aca="false">'Qté 2027'!X177*$C177</f>
        <v>0.201</v>
      </c>
      <c r="Y177" s="23" t="n">
        <f aca="false">'Qté 2027'!Y177*$C177</f>
        <v>0.3618</v>
      </c>
      <c r="Z177" s="23" t="n">
        <f aca="false">'Qté 2027'!Z177*$C177</f>
        <v>0.201</v>
      </c>
      <c r="AA177" s="23" t="n">
        <f aca="false">'Qté 2027'!AA177*$C177</f>
        <v>0</v>
      </c>
      <c r="AB177" s="23" t="n">
        <f aca="false">'Qté 2027'!AB177*$C177</f>
        <v>0</v>
      </c>
      <c r="AC177" s="23" t="n">
        <f aca="false">'Qté 2027'!AC177*$C177</f>
        <v>0.3618</v>
      </c>
      <c r="AD177" s="23" t="n">
        <f aca="false">'Qté 2027'!AD177*$C177</f>
        <v>0.7236</v>
      </c>
      <c r="AE177" s="23" t="n">
        <f aca="false">'Qté 2027'!AE177*$C177</f>
        <v>0.3618</v>
      </c>
      <c r="AF177" s="23" t="n">
        <f aca="false">'Qté 2027'!AF177*$C177</f>
        <v>0</v>
      </c>
      <c r="AG177" s="23" t="n">
        <f aca="false">'Qté 2027'!AG177*$C177</f>
        <v>0</v>
      </c>
      <c r="AH177" s="23" t="n">
        <f aca="false">'Qté 2027'!AH177*$C177</f>
        <v>0</v>
      </c>
      <c r="AI177" s="23" t="n">
        <f aca="false">'Qté 2027'!AI177*$C177</f>
        <v>0</v>
      </c>
      <c r="AJ177" s="23" t="n">
        <f aca="false">'Qté 2027'!AJ177*$C177</f>
        <v>0</v>
      </c>
      <c r="AK177" s="23" t="n">
        <f aca="false">'Qté 2027'!AK177*$C177</f>
        <v>0</v>
      </c>
      <c r="AL177" s="23" t="n">
        <f aca="false">'Qté 2027'!AL177*$C177</f>
        <v>0</v>
      </c>
      <c r="AM177" s="23" t="n">
        <f aca="false">'Qté 2027'!AM177*$C177</f>
        <v>0</v>
      </c>
      <c r="AN177" s="23" t="n">
        <f aca="false">'Qté 2027'!AN177*$C177</f>
        <v>0</v>
      </c>
      <c r="AO177" s="23" t="n">
        <f aca="false">'Qté 2027'!AO177*$C177</f>
        <v>0</v>
      </c>
      <c r="AP177" s="23" t="n">
        <f aca="false">'Qté 2027'!AP177*$C177</f>
        <v>0</v>
      </c>
      <c r="AQ177" s="23" t="n">
        <f aca="false">'Qté 2027'!AQ177*$C177</f>
        <v>0</v>
      </c>
      <c r="AR177" s="23" t="n">
        <f aca="false">'Qté 2027'!AR177*$C177</f>
        <v>0</v>
      </c>
      <c r="AS177" s="23" t="n">
        <f aca="false">'Qté 2027'!AS177*$C177</f>
        <v>0</v>
      </c>
      <c r="AT177" s="23" t="n">
        <f aca="false">'Qté 2027'!AT177*$C177</f>
        <v>0.3216</v>
      </c>
      <c r="AU177" s="23" t="n">
        <f aca="false">'Qté 2027'!AU177*$C177</f>
        <v>0.6834</v>
      </c>
      <c r="AV177" s="23" t="n">
        <f aca="false">'Qté 2027'!AV177*$C177</f>
        <v>0.3216</v>
      </c>
      <c r="AW177" s="23" t="n">
        <f aca="false">'Qté 2027'!AW177*$C177</f>
        <v>0</v>
      </c>
      <c r="AX177" s="23" t="n">
        <f aca="false">'Qté 2027'!AX177*$C177</f>
        <v>0</v>
      </c>
      <c r="AY177" s="23" t="n">
        <f aca="false">'Qté 2027'!AY177*$C177</f>
        <v>0</v>
      </c>
      <c r="AZ177" s="23" t="n">
        <f aca="false">'Qté 2027'!AZ177*$C177</f>
        <v>0</v>
      </c>
      <c r="BA177" s="23" t="n">
        <f aca="false">'Qté 2027'!BA177*$C177</f>
        <v>0</v>
      </c>
      <c r="BB177" s="23" t="n">
        <f aca="false">'Qté 2027'!BB177*$C177</f>
        <v>0</v>
      </c>
      <c r="BC177" s="23" t="n">
        <f aca="false">'Qté 2027'!BC177*$C177</f>
        <v>0</v>
      </c>
      <c r="BD177" s="15" t="n">
        <f aca="false">SUM(D177:BC177)</f>
        <v>4.4622</v>
      </c>
    </row>
    <row r="178" customFormat="false" ht="15" hidden="false" customHeight="false" outlineLevel="0" collapsed="false">
      <c r="A178" s="5" t="s">
        <v>354</v>
      </c>
      <c r="B178" s="5" t="s">
        <v>45</v>
      </c>
      <c r="C178" s="22" t="n">
        <v>12</v>
      </c>
      <c r="D178" s="23" t="n">
        <f aca="false">'Qté 2027'!D178*$C178</f>
        <v>0</v>
      </c>
      <c r="E178" s="23" t="n">
        <f aca="false">'Qté 2027'!E178*$C178</f>
        <v>0</v>
      </c>
      <c r="F178" s="23" t="n">
        <f aca="false">'Qté 2027'!F178*$C178</f>
        <v>0</v>
      </c>
      <c r="G178" s="23" t="n">
        <f aca="false">'Qté 2027'!G178*$C178</f>
        <v>0</v>
      </c>
      <c r="H178" s="23" t="n">
        <f aca="false">'Qté 2027'!H178*$C178</f>
        <v>0</v>
      </c>
      <c r="I178" s="23" t="n">
        <f aca="false">'Qté 2027'!I178*$C178</f>
        <v>0</v>
      </c>
      <c r="J178" s="23" t="n">
        <f aca="false">'Qté 2027'!J178*$C178</f>
        <v>0</v>
      </c>
      <c r="K178" s="23" t="n">
        <f aca="false">'Qté 2027'!K178*$C178</f>
        <v>0</v>
      </c>
      <c r="L178" s="23" t="n">
        <f aca="false">'Qté 2027'!L178*$C178</f>
        <v>0</v>
      </c>
      <c r="M178" s="23" t="n">
        <f aca="false">'Qté 2027'!M178*$C178</f>
        <v>0</v>
      </c>
      <c r="N178" s="23" t="n">
        <f aca="false">'Qté 2027'!N178*$C178</f>
        <v>0</v>
      </c>
      <c r="O178" s="23" t="n">
        <f aca="false">'Qté 2027'!O178*$C178</f>
        <v>0</v>
      </c>
      <c r="P178" s="23" t="n">
        <f aca="false">'Qté 2027'!P178*$C178</f>
        <v>0</v>
      </c>
      <c r="Q178" s="23" t="n">
        <f aca="false">'Qté 2027'!Q178*$C178</f>
        <v>0</v>
      </c>
      <c r="R178" s="23" t="n">
        <f aca="false">'Qté 2027'!R178*$C178</f>
        <v>0</v>
      </c>
      <c r="S178" s="23" t="n">
        <f aca="false">'Qté 2027'!S178*$C178</f>
        <v>0</v>
      </c>
      <c r="T178" s="23" t="n">
        <f aca="false">'Qté 2027'!T178*$C178</f>
        <v>0</v>
      </c>
      <c r="U178" s="23" t="n">
        <f aca="false">'Qté 2027'!U178*$C178</f>
        <v>0</v>
      </c>
      <c r="V178" s="23" t="n">
        <f aca="false">'Qté 2027'!V178*$C178</f>
        <v>0</v>
      </c>
      <c r="W178" s="23" t="n">
        <f aca="false">'Qté 2027'!W178*$C178</f>
        <v>0</v>
      </c>
      <c r="X178" s="23" t="n">
        <f aca="false">'Qté 2027'!X178*$C178</f>
        <v>0</v>
      </c>
      <c r="Y178" s="23" t="n">
        <f aca="false">'Qté 2027'!Y178*$C178</f>
        <v>0</v>
      </c>
      <c r="Z178" s="23" t="n">
        <f aca="false">'Qté 2027'!Z178*$C178</f>
        <v>0</v>
      </c>
      <c r="AA178" s="23" t="n">
        <f aca="false">'Qté 2027'!AA178*$C178</f>
        <v>0</v>
      </c>
      <c r="AB178" s="23" t="n">
        <f aca="false">'Qté 2027'!AB178*$C178</f>
        <v>1.08</v>
      </c>
      <c r="AC178" s="23" t="n">
        <f aca="false">'Qté 2027'!AC178*$C178</f>
        <v>2.16</v>
      </c>
      <c r="AD178" s="23" t="n">
        <f aca="false">'Qté 2027'!AD178*$C178</f>
        <v>1.08</v>
      </c>
      <c r="AE178" s="23" t="n">
        <f aca="false">'Qté 2027'!AE178*$C178</f>
        <v>0</v>
      </c>
      <c r="AF178" s="23" t="n">
        <f aca="false">'Qté 2027'!AF178*$C178</f>
        <v>0</v>
      </c>
      <c r="AG178" s="23" t="n">
        <f aca="false">'Qté 2027'!AG178*$C178</f>
        <v>0</v>
      </c>
      <c r="AH178" s="23" t="n">
        <f aca="false">'Qté 2027'!AH178*$C178</f>
        <v>0</v>
      </c>
      <c r="AI178" s="23" t="n">
        <f aca="false">'Qté 2027'!AI178*$C178</f>
        <v>0</v>
      </c>
      <c r="AJ178" s="23" t="n">
        <f aca="false">'Qté 2027'!AJ178*$C178</f>
        <v>0</v>
      </c>
      <c r="AK178" s="23" t="n">
        <f aca="false">'Qté 2027'!AK178*$C178</f>
        <v>0</v>
      </c>
      <c r="AL178" s="23" t="n">
        <f aca="false">'Qté 2027'!AL178*$C178</f>
        <v>0</v>
      </c>
      <c r="AM178" s="23" t="n">
        <f aca="false">'Qté 2027'!AM178*$C178</f>
        <v>0</v>
      </c>
      <c r="AN178" s="23" t="n">
        <f aca="false">'Qté 2027'!AN178*$C178</f>
        <v>0</v>
      </c>
      <c r="AO178" s="23" t="n">
        <f aca="false">'Qté 2027'!AO178*$C178</f>
        <v>0</v>
      </c>
      <c r="AP178" s="23" t="n">
        <f aca="false">'Qté 2027'!AP178*$C178</f>
        <v>0</v>
      </c>
      <c r="AQ178" s="23" t="n">
        <f aca="false">'Qté 2027'!AQ178*$C178</f>
        <v>0</v>
      </c>
      <c r="AR178" s="23" t="n">
        <f aca="false">'Qté 2027'!AR178*$C178</f>
        <v>0</v>
      </c>
      <c r="AS178" s="23" t="n">
        <f aca="false">'Qté 2027'!AS178*$C178</f>
        <v>0</v>
      </c>
      <c r="AT178" s="23" t="n">
        <f aca="false">'Qté 2027'!AT178*$C178</f>
        <v>0</v>
      </c>
      <c r="AU178" s="23" t="n">
        <f aca="false">'Qté 2027'!AU178*$C178</f>
        <v>0</v>
      </c>
      <c r="AV178" s="23" t="n">
        <f aca="false">'Qté 2027'!AV178*$C178</f>
        <v>0</v>
      </c>
      <c r="AW178" s="23" t="n">
        <f aca="false">'Qté 2027'!AW178*$C178</f>
        <v>0</v>
      </c>
      <c r="AX178" s="23" t="n">
        <f aca="false">'Qté 2027'!AX178*$C178</f>
        <v>0</v>
      </c>
      <c r="AY178" s="23" t="n">
        <f aca="false">'Qté 2027'!AY178*$C178</f>
        <v>0</v>
      </c>
      <c r="AZ178" s="23" t="n">
        <f aca="false">'Qté 2027'!AZ178*$C178</f>
        <v>0</v>
      </c>
      <c r="BA178" s="23" t="n">
        <f aca="false">'Qté 2027'!BA178*$C178</f>
        <v>0</v>
      </c>
      <c r="BB178" s="23" t="n">
        <f aca="false">'Qté 2027'!BB178*$C178</f>
        <v>0</v>
      </c>
      <c r="BC178" s="23" t="n">
        <f aca="false">'Qté 2027'!BC178*$C178</f>
        <v>0</v>
      </c>
      <c r="BD178" s="15" t="n">
        <f aca="false">SUM(D178:BC178)</f>
        <v>4.32</v>
      </c>
    </row>
    <row r="179" customFormat="false" ht="15" hidden="false" customHeight="false" outlineLevel="0" collapsed="false">
      <c r="A179" s="5" t="s">
        <v>355</v>
      </c>
      <c r="B179" s="5" t="s">
        <v>63</v>
      </c>
      <c r="C179" s="22" t="n">
        <v>6.42</v>
      </c>
      <c r="D179" s="23" t="n">
        <f aca="false">'Qté 2027'!D179*$C179</f>
        <v>0</v>
      </c>
      <c r="E179" s="23" t="n">
        <f aca="false">'Qté 2027'!E179*$C179</f>
        <v>0</v>
      </c>
      <c r="F179" s="23" t="n">
        <f aca="false">'Qté 2027'!F179*$C179</f>
        <v>0</v>
      </c>
      <c r="G179" s="23" t="n">
        <f aca="false">'Qté 2027'!G179*$C179</f>
        <v>0</v>
      </c>
      <c r="H179" s="23" t="n">
        <f aca="false">'Qté 2027'!H179*$C179</f>
        <v>0</v>
      </c>
      <c r="I179" s="23" t="n">
        <f aca="false">'Qté 2027'!I179*$C179</f>
        <v>0</v>
      </c>
      <c r="J179" s="23" t="n">
        <f aca="false">'Qté 2027'!J179*$C179</f>
        <v>0</v>
      </c>
      <c r="K179" s="23" t="n">
        <f aca="false">'Qté 2027'!K179*$C179</f>
        <v>0</v>
      </c>
      <c r="L179" s="23" t="n">
        <f aca="false">'Qté 2027'!L179*$C179</f>
        <v>0</v>
      </c>
      <c r="M179" s="23" t="n">
        <f aca="false">'Qté 2027'!M179*$C179</f>
        <v>0</v>
      </c>
      <c r="N179" s="23" t="n">
        <f aca="false">'Qté 2027'!N179*$C179</f>
        <v>0</v>
      </c>
      <c r="O179" s="23" t="n">
        <f aca="false">'Qté 2027'!O179*$C179</f>
        <v>0</v>
      </c>
      <c r="P179" s="23" t="n">
        <f aca="false">'Qté 2027'!P179*$C179</f>
        <v>0</v>
      </c>
      <c r="Q179" s="23" t="n">
        <f aca="false">'Qté 2027'!Q179*$C179</f>
        <v>0</v>
      </c>
      <c r="R179" s="23" t="n">
        <f aca="false">'Qté 2027'!R179*$C179</f>
        <v>0</v>
      </c>
      <c r="S179" s="23" t="n">
        <f aca="false">'Qté 2027'!S179*$C179</f>
        <v>0</v>
      </c>
      <c r="T179" s="23" t="n">
        <f aca="false">'Qté 2027'!T179*$C179</f>
        <v>0</v>
      </c>
      <c r="U179" s="23" t="n">
        <f aca="false">'Qté 2027'!U179*$C179</f>
        <v>0</v>
      </c>
      <c r="V179" s="23" t="n">
        <f aca="false">'Qté 2027'!V179*$C179</f>
        <v>0</v>
      </c>
      <c r="W179" s="23" t="n">
        <f aca="false">'Qté 2027'!W179*$C179</f>
        <v>0</v>
      </c>
      <c r="X179" s="23" t="n">
        <f aca="false">'Qté 2027'!X179*$C179</f>
        <v>0</v>
      </c>
      <c r="Y179" s="23" t="n">
        <f aca="false">'Qté 2027'!Y179*$C179</f>
        <v>0</v>
      </c>
      <c r="Z179" s="23" t="n">
        <f aca="false">'Qté 2027'!Z179*$C179</f>
        <v>0</v>
      </c>
      <c r="AA179" s="23" t="n">
        <f aca="false">'Qté 2027'!AA179*$C179</f>
        <v>0</v>
      </c>
      <c r="AB179" s="23" t="n">
        <f aca="false">'Qté 2027'!AB179*$C179</f>
        <v>0</v>
      </c>
      <c r="AC179" s="23" t="n">
        <f aca="false">'Qté 2027'!AC179*$C179</f>
        <v>0</v>
      </c>
      <c r="AD179" s="23" t="n">
        <f aca="false">'Qté 2027'!AD179*$C179</f>
        <v>0</v>
      </c>
      <c r="AE179" s="23" t="n">
        <f aca="false">'Qté 2027'!AE179*$C179</f>
        <v>0</v>
      </c>
      <c r="AF179" s="23" t="n">
        <f aca="false">'Qté 2027'!AF179*$C179</f>
        <v>0</v>
      </c>
      <c r="AG179" s="23" t="n">
        <f aca="false">'Qté 2027'!AG179*$C179</f>
        <v>0</v>
      </c>
      <c r="AH179" s="23" t="n">
        <f aca="false">'Qté 2027'!AH179*$C179</f>
        <v>0</v>
      </c>
      <c r="AI179" s="23" t="n">
        <f aca="false">'Qté 2027'!AI179*$C179</f>
        <v>0</v>
      </c>
      <c r="AJ179" s="23" t="n">
        <f aca="false">'Qté 2027'!AJ179*$C179</f>
        <v>0</v>
      </c>
      <c r="AK179" s="23" t="n">
        <f aca="false">'Qté 2027'!AK179*$C179</f>
        <v>0</v>
      </c>
      <c r="AL179" s="23" t="n">
        <f aca="false">'Qté 2027'!AL179*$C179</f>
        <v>1.0914</v>
      </c>
      <c r="AM179" s="23" t="n">
        <f aca="false">'Qté 2027'!AM179*$C179</f>
        <v>2.1186</v>
      </c>
      <c r="AN179" s="23" t="n">
        <f aca="false">'Qté 2027'!AN179*$C179</f>
        <v>1.0914</v>
      </c>
      <c r="AO179" s="23" t="n">
        <f aca="false">'Qté 2027'!AO179*$C179</f>
        <v>0</v>
      </c>
      <c r="AP179" s="23" t="n">
        <f aca="false">'Qté 2027'!AP179*$C179</f>
        <v>0</v>
      </c>
      <c r="AQ179" s="23" t="n">
        <f aca="false">'Qté 2027'!AQ179*$C179</f>
        <v>0</v>
      </c>
      <c r="AR179" s="23" t="n">
        <f aca="false">'Qté 2027'!AR179*$C179</f>
        <v>0</v>
      </c>
      <c r="AS179" s="23" t="n">
        <f aca="false">'Qté 2027'!AS179*$C179</f>
        <v>0</v>
      </c>
      <c r="AT179" s="23" t="n">
        <f aca="false">'Qté 2027'!AT179*$C179</f>
        <v>0</v>
      </c>
      <c r="AU179" s="23" t="n">
        <f aca="false">'Qté 2027'!AU179*$C179</f>
        <v>0</v>
      </c>
      <c r="AV179" s="23" t="n">
        <f aca="false">'Qté 2027'!AV179*$C179</f>
        <v>0</v>
      </c>
      <c r="AW179" s="23" t="n">
        <f aca="false">'Qté 2027'!AW179*$C179</f>
        <v>0</v>
      </c>
      <c r="AX179" s="23" t="n">
        <f aca="false">'Qté 2027'!AX179*$C179</f>
        <v>0</v>
      </c>
      <c r="AY179" s="23" t="n">
        <f aca="false">'Qté 2027'!AY179*$C179</f>
        <v>0</v>
      </c>
      <c r="AZ179" s="23" t="n">
        <f aca="false">'Qté 2027'!AZ179*$C179</f>
        <v>0</v>
      </c>
      <c r="BA179" s="23" t="n">
        <f aca="false">'Qté 2027'!BA179*$C179</f>
        <v>0</v>
      </c>
      <c r="BB179" s="23" t="n">
        <f aca="false">'Qté 2027'!BB179*$C179</f>
        <v>0</v>
      </c>
      <c r="BC179" s="23" t="n">
        <f aca="false">'Qté 2027'!BC179*$C179</f>
        <v>0</v>
      </c>
      <c r="BD179" s="15" t="n">
        <f aca="false">SUM(D179:BC179)</f>
        <v>4.3014</v>
      </c>
    </row>
    <row r="180" customFormat="false" ht="15" hidden="false" customHeight="false" outlineLevel="0" collapsed="false">
      <c r="A180" s="5" t="s">
        <v>356</v>
      </c>
      <c r="B180" s="5" t="s">
        <v>45</v>
      </c>
      <c r="C180" s="22" t="n">
        <v>18.26</v>
      </c>
      <c r="D180" s="23" t="n">
        <f aca="false">'Qté 2027'!D180*$C180</f>
        <v>0</v>
      </c>
      <c r="E180" s="23" t="n">
        <f aca="false">'Qté 2027'!E180*$C180</f>
        <v>0</v>
      </c>
      <c r="F180" s="23" t="n">
        <f aca="false">'Qté 2027'!F180*$C180</f>
        <v>0</v>
      </c>
      <c r="G180" s="23" t="n">
        <f aca="false">'Qté 2027'!G180*$C180</f>
        <v>0</v>
      </c>
      <c r="H180" s="23" t="n">
        <f aca="false">'Qté 2027'!H180*$C180</f>
        <v>0</v>
      </c>
      <c r="I180" s="23" t="n">
        <f aca="false">'Qté 2027'!I180*$C180</f>
        <v>0</v>
      </c>
      <c r="J180" s="23" t="n">
        <f aca="false">'Qté 2027'!J180*$C180</f>
        <v>0</v>
      </c>
      <c r="K180" s="23" t="n">
        <f aca="false">'Qté 2027'!K180*$C180</f>
        <v>0</v>
      </c>
      <c r="L180" s="23" t="n">
        <f aca="false">'Qté 2027'!L180*$C180</f>
        <v>0</v>
      </c>
      <c r="M180" s="23" t="n">
        <f aca="false">'Qté 2027'!M180*$C180</f>
        <v>0</v>
      </c>
      <c r="N180" s="23" t="n">
        <f aca="false">'Qté 2027'!N180*$C180</f>
        <v>0</v>
      </c>
      <c r="O180" s="23" t="n">
        <f aca="false">'Qté 2027'!O180*$C180</f>
        <v>0</v>
      </c>
      <c r="P180" s="23" t="n">
        <f aca="false">'Qté 2027'!P180*$C180</f>
        <v>0</v>
      </c>
      <c r="Q180" s="23" t="n">
        <f aca="false">'Qté 2027'!Q180*$C180</f>
        <v>0</v>
      </c>
      <c r="R180" s="23" t="n">
        <f aca="false">'Qté 2027'!R180*$C180</f>
        <v>0</v>
      </c>
      <c r="S180" s="23" t="n">
        <f aca="false">'Qté 2027'!S180*$C180</f>
        <v>0</v>
      </c>
      <c r="T180" s="23" t="n">
        <f aca="false">'Qté 2027'!T180*$C180</f>
        <v>0</v>
      </c>
      <c r="U180" s="23" t="n">
        <f aca="false">'Qté 2027'!U180*$C180</f>
        <v>0</v>
      </c>
      <c r="V180" s="23" t="n">
        <f aca="false">'Qté 2027'!V180*$C180</f>
        <v>0</v>
      </c>
      <c r="W180" s="23" t="n">
        <f aca="false">'Qté 2027'!W180*$C180</f>
        <v>0</v>
      </c>
      <c r="X180" s="23" t="n">
        <f aca="false">'Qté 2027'!X180*$C180</f>
        <v>0</v>
      </c>
      <c r="Y180" s="23" t="n">
        <f aca="false">'Qté 2027'!Y180*$C180</f>
        <v>0</v>
      </c>
      <c r="Z180" s="23" t="n">
        <f aca="false">'Qté 2027'!Z180*$C180</f>
        <v>0</v>
      </c>
      <c r="AA180" s="23" t="n">
        <f aca="false">'Qté 2027'!AA180*$C180</f>
        <v>1.0956</v>
      </c>
      <c r="AB180" s="23" t="n">
        <f aca="false">'Qté 2027'!AB180*$C180</f>
        <v>2.0086</v>
      </c>
      <c r="AC180" s="23" t="n">
        <f aca="false">'Qté 2027'!AC180*$C180</f>
        <v>1.0956</v>
      </c>
      <c r="AD180" s="23" t="n">
        <f aca="false">'Qté 2027'!AD180*$C180</f>
        <v>0</v>
      </c>
      <c r="AE180" s="23" t="n">
        <f aca="false">'Qté 2027'!AE180*$C180</f>
        <v>0</v>
      </c>
      <c r="AF180" s="23" t="n">
        <f aca="false">'Qté 2027'!AF180*$C180</f>
        <v>0</v>
      </c>
      <c r="AG180" s="23" t="n">
        <f aca="false">'Qté 2027'!AG180*$C180</f>
        <v>0</v>
      </c>
      <c r="AH180" s="23" t="n">
        <f aca="false">'Qté 2027'!AH180*$C180</f>
        <v>0</v>
      </c>
      <c r="AI180" s="23" t="n">
        <f aca="false">'Qté 2027'!AI180*$C180</f>
        <v>0</v>
      </c>
      <c r="AJ180" s="23" t="n">
        <f aca="false">'Qté 2027'!AJ180*$C180</f>
        <v>0</v>
      </c>
      <c r="AK180" s="23" t="n">
        <f aca="false">'Qté 2027'!AK180*$C180</f>
        <v>0</v>
      </c>
      <c r="AL180" s="23" t="n">
        <f aca="false">'Qté 2027'!AL180*$C180</f>
        <v>0</v>
      </c>
      <c r="AM180" s="23" t="n">
        <f aca="false">'Qté 2027'!AM180*$C180</f>
        <v>0</v>
      </c>
      <c r="AN180" s="23" t="n">
        <f aca="false">'Qté 2027'!AN180*$C180</f>
        <v>0</v>
      </c>
      <c r="AO180" s="23" t="n">
        <f aca="false">'Qté 2027'!AO180*$C180</f>
        <v>0</v>
      </c>
      <c r="AP180" s="23" t="n">
        <f aca="false">'Qté 2027'!AP180*$C180</f>
        <v>0</v>
      </c>
      <c r="AQ180" s="23" t="n">
        <f aca="false">'Qté 2027'!AQ180*$C180</f>
        <v>0</v>
      </c>
      <c r="AR180" s="23" t="n">
        <f aca="false">'Qté 2027'!AR180*$C180</f>
        <v>0</v>
      </c>
      <c r="AS180" s="23" t="n">
        <f aca="false">'Qté 2027'!AS180*$C180</f>
        <v>0</v>
      </c>
      <c r="AT180" s="23" t="n">
        <f aca="false">'Qté 2027'!AT180*$C180</f>
        <v>0</v>
      </c>
      <c r="AU180" s="23" t="n">
        <f aca="false">'Qté 2027'!AU180*$C180</f>
        <v>0</v>
      </c>
      <c r="AV180" s="23" t="n">
        <f aca="false">'Qté 2027'!AV180*$C180</f>
        <v>0</v>
      </c>
      <c r="AW180" s="23" t="n">
        <f aca="false">'Qté 2027'!AW180*$C180</f>
        <v>0</v>
      </c>
      <c r="AX180" s="23" t="n">
        <f aca="false">'Qté 2027'!AX180*$C180</f>
        <v>0</v>
      </c>
      <c r="AY180" s="23" t="n">
        <f aca="false">'Qté 2027'!AY180*$C180</f>
        <v>0</v>
      </c>
      <c r="AZ180" s="23" t="n">
        <f aca="false">'Qté 2027'!AZ180*$C180</f>
        <v>0</v>
      </c>
      <c r="BA180" s="23" t="n">
        <f aca="false">'Qté 2027'!BA180*$C180</f>
        <v>0</v>
      </c>
      <c r="BB180" s="23" t="n">
        <f aca="false">'Qté 2027'!BB180*$C180</f>
        <v>0</v>
      </c>
      <c r="BC180" s="23" t="n">
        <f aca="false">'Qté 2027'!BC180*$C180</f>
        <v>0</v>
      </c>
      <c r="BD180" s="15" t="n">
        <f aca="false">SUM(D180:BC180)</f>
        <v>4.1998</v>
      </c>
    </row>
    <row r="181" customFormat="false" ht="15" hidden="false" customHeight="false" outlineLevel="0" collapsed="false">
      <c r="A181" s="5" t="s">
        <v>357</v>
      </c>
      <c r="B181" s="5" t="s">
        <v>64</v>
      </c>
      <c r="C181" s="22" t="n">
        <v>2.64</v>
      </c>
      <c r="D181" s="23" t="n">
        <f aca="false">'Qté 2027'!D181*$C181</f>
        <v>0</v>
      </c>
      <c r="E181" s="23" t="n">
        <f aca="false">'Qté 2027'!E181*$C181</f>
        <v>0</v>
      </c>
      <c r="F181" s="23" t="n">
        <f aca="false">'Qté 2027'!F181*$C181</f>
        <v>0</v>
      </c>
      <c r="G181" s="23" t="n">
        <f aca="false">'Qté 2027'!G181*$C181</f>
        <v>0</v>
      </c>
      <c r="H181" s="23" t="n">
        <f aca="false">'Qté 2027'!H181*$C181</f>
        <v>0</v>
      </c>
      <c r="I181" s="23" t="n">
        <f aca="false">'Qté 2027'!I181*$C181</f>
        <v>0</v>
      </c>
      <c r="J181" s="23" t="n">
        <f aca="false">'Qté 2027'!J181*$C181</f>
        <v>0</v>
      </c>
      <c r="K181" s="23" t="n">
        <f aca="false">'Qté 2027'!K181*$C181</f>
        <v>0</v>
      </c>
      <c r="L181" s="23" t="n">
        <f aca="false">'Qté 2027'!L181*$C181</f>
        <v>0</v>
      </c>
      <c r="M181" s="23" t="n">
        <f aca="false">'Qté 2027'!M181*$C181</f>
        <v>0</v>
      </c>
      <c r="N181" s="23" t="n">
        <f aca="false">'Qté 2027'!N181*$C181</f>
        <v>0</v>
      </c>
      <c r="O181" s="23" t="n">
        <f aca="false">'Qté 2027'!O181*$C181</f>
        <v>0</v>
      </c>
      <c r="P181" s="23" t="n">
        <f aca="false">'Qté 2027'!P181*$C181</f>
        <v>0.1848</v>
      </c>
      <c r="Q181" s="23" t="n">
        <f aca="false">'Qté 2027'!Q181*$C181</f>
        <v>0.3696</v>
      </c>
      <c r="R181" s="23" t="n">
        <f aca="false">'Qté 2027'!R181*$C181</f>
        <v>0.1848</v>
      </c>
      <c r="S181" s="23" t="n">
        <f aca="false">'Qté 2027'!S181*$C181</f>
        <v>0</v>
      </c>
      <c r="T181" s="23" t="n">
        <f aca="false">'Qté 2027'!T181*$C181</f>
        <v>0.4752</v>
      </c>
      <c r="U181" s="23" t="n">
        <f aca="false">'Qté 2027'!U181*$C181</f>
        <v>0.9504</v>
      </c>
      <c r="V181" s="23" t="n">
        <f aca="false">'Qté 2027'!V181*$C181</f>
        <v>0.4752</v>
      </c>
      <c r="W181" s="23" t="n">
        <f aca="false">'Qté 2027'!W181*$C181</f>
        <v>0.0792</v>
      </c>
      <c r="X181" s="23" t="n">
        <f aca="false">'Qté 2027'!X181*$C181</f>
        <v>0.1848</v>
      </c>
      <c r="Y181" s="23" t="n">
        <f aca="false">'Qté 2027'!Y181*$C181</f>
        <v>0.0792</v>
      </c>
      <c r="Z181" s="23" t="n">
        <f aca="false">'Qté 2027'!Z181*$C181</f>
        <v>0</v>
      </c>
      <c r="AA181" s="23" t="n">
        <f aca="false">'Qté 2027'!AA181*$C181</f>
        <v>0</v>
      </c>
      <c r="AB181" s="23" t="n">
        <f aca="false">'Qté 2027'!AB181*$C181</f>
        <v>0</v>
      </c>
      <c r="AC181" s="23" t="n">
        <f aca="false">'Qté 2027'!AC181*$C181</f>
        <v>0</v>
      </c>
      <c r="AD181" s="23" t="n">
        <f aca="false">'Qté 2027'!AD181*$C181</f>
        <v>0</v>
      </c>
      <c r="AE181" s="23" t="n">
        <f aca="false">'Qté 2027'!AE181*$C181</f>
        <v>0</v>
      </c>
      <c r="AF181" s="23" t="n">
        <f aca="false">'Qté 2027'!AF181*$C181</f>
        <v>0</v>
      </c>
      <c r="AG181" s="23" t="n">
        <f aca="false">'Qté 2027'!AG181*$C181</f>
        <v>0.264</v>
      </c>
      <c r="AH181" s="23" t="n">
        <f aca="false">'Qté 2027'!AH181*$C181</f>
        <v>0.528</v>
      </c>
      <c r="AI181" s="23" t="n">
        <f aca="false">'Qté 2027'!AI181*$C181</f>
        <v>0.264</v>
      </c>
      <c r="AJ181" s="23" t="n">
        <f aca="false">'Qté 2027'!AJ181*$C181</f>
        <v>0</v>
      </c>
      <c r="AK181" s="23" t="n">
        <f aca="false">'Qté 2027'!AK181*$C181</f>
        <v>0</v>
      </c>
      <c r="AL181" s="23" t="n">
        <f aca="false">'Qté 2027'!AL181*$C181</f>
        <v>0</v>
      </c>
      <c r="AM181" s="23" t="n">
        <f aca="false">'Qté 2027'!AM181*$C181</f>
        <v>0</v>
      </c>
      <c r="AN181" s="23" t="n">
        <f aca="false">'Qté 2027'!AN181*$C181</f>
        <v>0</v>
      </c>
      <c r="AO181" s="23" t="n">
        <f aca="false">'Qté 2027'!AO181*$C181</f>
        <v>0</v>
      </c>
      <c r="AP181" s="23" t="n">
        <f aca="false">'Qté 2027'!AP181*$C181</f>
        <v>0</v>
      </c>
      <c r="AQ181" s="23" t="n">
        <f aca="false">'Qté 2027'!AQ181*$C181</f>
        <v>0</v>
      </c>
      <c r="AR181" s="23" t="n">
        <f aca="false">'Qté 2027'!AR181*$C181</f>
        <v>0</v>
      </c>
      <c r="AS181" s="23" t="n">
        <f aca="false">'Qté 2027'!AS181*$C181</f>
        <v>0</v>
      </c>
      <c r="AT181" s="23" t="n">
        <f aca="false">'Qté 2027'!AT181*$C181</f>
        <v>0</v>
      </c>
      <c r="AU181" s="23" t="n">
        <f aca="false">'Qté 2027'!AU181*$C181</f>
        <v>0</v>
      </c>
      <c r="AV181" s="23" t="n">
        <f aca="false">'Qté 2027'!AV181*$C181</f>
        <v>0</v>
      </c>
      <c r="AW181" s="23" t="n">
        <f aca="false">'Qté 2027'!AW181*$C181</f>
        <v>0</v>
      </c>
      <c r="AX181" s="23" t="n">
        <f aca="false">'Qté 2027'!AX181*$C181</f>
        <v>0</v>
      </c>
      <c r="AY181" s="23" t="n">
        <f aca="false">'Qté 2027'!AY181*$C181</f>
        <v>0</v>
      </c>
      <c r="AZ181" s="23" t="n">
        <f aca="false">'Qté 2027'!AZ181*$C181</f>
        <v>0</v>
      </c>
      <c r="BA181" s="23" t="n">
        <f aca="false">'Qté 2027'!BA181*$C181</f>
        <v>0</v>
      </c>
      <c r="BB181" s="23" t="n">
        <f aca="false">'Qté 2027'!BB181*$C181</f>
        <v>0</v>
      </c>
      <c r="BC181" s="23" t="n">
        <f aca="false">'Qté 2027'!BC181*$C181</f>
        <v>0</v>
      </c>
      <c r="BD181" s="15" t="n">
        <f aca="false">SUM(D181:BC181)</f>
        <v>4.0392</v>
      </c>
    </row>
    <row r="182" customFormat="false" ht="15" hidden="false" customHeight="false" outlineLevel="0" collapsed="false">
      <c r="A182" s="5" t="s">
        <v>358</v>
      </c>
      <c r="B182" s="5" t="s">
        <v>64</v>
      </c>
      <c r="C182" s="22" t="n">
        <v>12</v>
      </c>
      <c r="D182" s="23" t="n">
        <f aca="false">'Qté 2027'!D182*$C182</f>
        <v>0</v>
      </c>
      <c r="E182" s="23" t="n">
        <f aca="false">'Qté 2027'!E182*$C182</f>
        <v>0</v>
      </c>
      <c r="F182" s="23" t="n">
        <f aca="false">'Qté 2027'!F182*$C182</f>
        <v>0</v>
      </c>
      <c r="G182" s="23" t="n">
        <f aca="false">'Qté 2027'!G182*$C182</f>
        <v>0</v>
      </c>
      <c r="H182" s="23" t="n">
        <f aca="false">'Qté 2027'!H182*$C182</f>
        <v>0</v>
      </c>
      <c r="I182" s="23" t="n">
        <f aca="false">'Qté 2027'!I182*$C182</f>
        <v>0</v>
      </c>
      <c r="J182" s="23" t="n">
        <f aca="false">'Qté 2027'!J182*$C182</f>
        <v>0</v>
      </c>
      <c r="K182" s="23" t="n">
        <f aca="false">'Qté 2027'!K182*$C182</f>
        <v>0</v>
      </c>
      <c r="L182" s="23" t="n">
        <f aca="false">'Qté 2027'!L182*$C182</f>
        <v>0</v>
      </c>
      <c r="M182" s="23" t="n">
        <f aca="false">'Qté 2027'!M182*$C182</f>
        <v>0</v>
      </c>
      <c r="N182" s="23" t="n">
        <f aca="false">'Qté 2027'!N182*$C182</f>
        <v>0</v>
      </c>
      <c r="O182" s="23" t="n">
        <f aca="false">'Qté 2027'!O182*$C182</f>
        <v>0</v>
      </c>
      <c r="P182" s="23" t="n">
        <f aca="false">'Qté 2027'!P182*$C182</f>
        <v>0</v>
      </c>
      <c r="Q182" s="23" t="n">
        <f aca="false">'Qté 2027'!Q182*$C182</f>
        <v>0</v>
      </c>
      <c r="R182" s="23" t="n">
        <f aca="false">'Qté 2027'!R182*$C182</f>
        <v>0</v>
      </c>
      <c r="S182" s="23" t="n">
        <f aca="false">'Qté 2027'!S182*$C182</f>
        <v>0</v>
      </c>
      <c r="T182" s="23" t="n">
        <f aca="false">'Qté 2027'!T182*$C182</f>
        <v>0</v>
      </c>
      <c r="U182" s="23" t="n">
        <f aca="false">'Qté 2027'!U182*$C182</f>
        <v>0</v>
      </c>
      <c r="V182" s="23" t="n">
        <f aca="false">'Qté 2027'!V182*$C182</f>
        <v>0</v>
      </c>
      <c r="W182" s="23" t="n">
        <f aca="false">'Qté 2027'!W182*$C182</f>
        <v>0</v>
      </c>
      <c r="X182" s="23" t="n">
        <f aca="false">'Qté 2027'!X182*$C182</f>
        <v>0</v>
      </c>
      <c r="Y182" s="23" t="n">
        <f aca="false">'Qté 2027'!Y182*$C182</f>
        <v>0</v>
      </c>
      <c r="Z182" s="23" t="n">
        <f aca="false">'Qté 2027'!Z182*$C182</f>
        <v>0</v>
      </c>
      <c r="AA182" s="23" t="n">
        <f aca="false">'Qté 2027'!AA182*$C182</f>
        <v>0</v>
      </c>
      <c r="AB182" s="23" t="n">
        <f aca="false">'Qté 2027'!AB182*$C182</f>
        <v>0</v>
      </c>
      <c r="AC182" s="23" t="n">
        <f aca="false">'Qté 2027'!AC182*$C182</f>
        <v>0</v>
      </c>
      <c r="AD182" s="23" t="n">
        <f aca="false">'Qté 2027'!AD182*$C182</f>
        <v>0</v>
      </c>
      <c r="AE182" s="23" t="n">
        <f aca="false">'Qté 2027'!AE182*$C182</f>
        <v>0</v>
      </c>
      <c r="AF182" s="23" t="n">
        <f aca="false">'Qté 2027'!AF182*$C182</f>
        <v>0</v>
      </c>
      <c r="AG182" s="23" t="n">
        <f aca="false">'Qté 2027'!AG182*$C182</f>
        <v>0.96</v>
      </c>
      <c r="AH182" s="23" t="n">
        <f aca="false">'Qté 2027'!AH182*$C182</f>
        <v>2.04</v>
      </c>
      <c r="AI182" s="23" t="n">
        <f aca="false">'Qté 2027'!AI182*$C182</f>
        <v>0.96</v>
      </c>
      <c r="AJ182" s="23" t="n">
        <f aca="false">'Qté 2027'!AJ182*$C182</f>
        <v>0</v>
      </c>
      <c r="AK182" s="23" t="n">
        <f aca="false">'Qté 2027'!AK182*$C182</f>
        <v>0</v>
      </c>
      <c r="AL182" s="23" t="n">
        <f aca="false">'Qté 2027'!AL182*$C182</f>
        <v>0</v>
      </c>
      <c r="AM182" s="23" t="n">
        <f aca="false">'Qté 2027'!AM182*$C182</f>
        <v>0</v>
      </c>
      <c r="AN182" s="23" t="n">
        <f aca="false">'Qté 2027'!AN182*$C182</f>
        <v>0</v>
      </c>
      <c r="AO182" s="23" t="n">
        <f aca="false">'Qté 2027'!AO182*$C182</f>
        <v>0</v>
      </c>
      <c r="AP182" s="23" t="n">
        <f aca="false">'Qté 2027'!AP182*$C182</f>
        <v>0</v>
      </c>
      <c r="AQ182" s="23" t="n">
        <f aca="false">'Qté 2027'!AQ182*$C182</f>
        <v>0</v>
      </c>
      <c r="AR182" s="23" t="n">
        <f aca="false">'Qté 2027'!AR182*$C182</f>
        <v>0</v>
      </c>
      <c r="AS182" s="23" t="n">
        <f aca="false">'Qté 2027'!AS182*$C182</f>
        <v>0</v>
      </c>
      <c r="AT182" s="23" t="n">
        <f aca="false">'Qté 2027'!AT182*$C182</f>
        <v>0</v>
      </c>
      <c r="AU182" s="23" t="n">
        <f aca="false">'Qté 2027'!AU182*$C182</f>
        <v>0</v>
      </c>
      <c r="AV182" s="23" t="n">
        <f aca="false">'Qté 2027'!AV182*$C182</f>
        <v>0</v>
      </c>
      <c r="AW182" s="23" t="n">
        <f aca="false">'Qté 2027'!AW182*$C182</f>
        <v>0</v>
      </c>
      <c r="AX182" s="23" t="n">
        <f aca="false">'Qté 2027'!AX182*$C182</f>
        <v>0</v>
      </c>
      <c r="AY182" s="23" t="n">
        <f aca="false">'Qté 2027'!AY182*$C182</f>
        <v>0</v>
      </c>
      <c r="AZ182" s="23" t="n">
        <f aca="false">'Qté 2027'!AZ182*$C182</f>
        <v>0</v>
      </c>
      <c r="BA182" s="23" t="n">
        <f aca="false">'Qté 2027'!BA182*$C182</f>
        <v>0</v>
      </c>
      <c r="BB182" s="23" t="n">
        <f aca="false">'Qté 2027'!BB182*$C182</f>
        <v>0</v>
      </c>
      <c r="BC182" s="23" t="n">
        <f aca="false">'Qté 2027'!BC182*$C182</f>
        <v>0</v>
      </c>
      <c r="BD182" s="15" t="n">
        <f aca="false">SUM(D182:BC182)</f>
        <v>3.96</v>
      </c>
    </row>
    <row r="183" customFormat="false" ht="15" hidden="false" customHeight="false" outlineLevel="0" collapsed="false">
      <c r="A183" s="5" t="s">
        <v>359</v>
      </c>
      <c r="B183" s="5" t="s">
        <v>57</v>
      </c>
      <c r="C183" s="22" t="n">
        <v>5.8</v>
      </c>
      <c r="D183" s="23" t="n">
        <f aca="false">'Qté 2027'!D183*$C183</f>
        <v>0</v>
      </c>
      <c r="E183" s="23" t="n">
        <f aca="false">'Qté 2027'!E183*$C183</f>
        <v>0</v>
      </c>
      <c r="F183" s="23" t="n">
        <f aca="false">'Qté 2027'!F183*$C183</f>
        <v>0</v>
      </c>
      <c r="G183" s="23" t="n">
        <f aca="false">'Qté 2027'!G183*$C183</f>
        <v>0</v>
      </c>
      <c r="H183" s="23" t="n">
        <f aca="false">'Qté 2027'!H183*$C183</f>
        <v>0</v>
      </c>
      <c r="I183" s="23" t="n">
        <f aca="false">'Qté 2027'!I183*$C183</f>
        <v>0</v>
      </c>
      <c r="J183" s="23" t="n">
        <f aca="false">'Qté 2027'!J183*$C183</f>
        <v>0</v>
      </c>
      <c r="K183" s="23" t="n">
        <f aca="false">'Qté 2027'!K183*$C183</f>
        <v>0</v>
      </c>
      <c r="L183" s="23" t="n">
        <f aca="false">'Qté 2027'!L183*$C183</f>
        <v>0</v>
      </c>
      <c r="M183" s="23" t="n">
        <f aca="false">'Qté 2027'!M183*$C183</f>
        <v>0</v>
      </c>
      <c r="N183" s="23" t="n">
        <f aca="false">'Qté 2027'!N183*$C183</f>
        <v>0</v>
      </c>
      <c r="O183" s="23" t="n">
        <f aca="false">'Qté 2027'!O183*$C183</f>
        <v>0</v>
      </c>
      <c r="P183" s="23" t="n">
        <f aca="false">'Qté 2027'!P183*$C183</f>
        <v>0</v>
      </c>
      <c r="Q183" s="23" t="n">
        <f aca="false">'Qté 2027'!Q183*$C183</f>
        <v>0</v>
      </c>
      <c r="R183" s="23" t="n">
        <f aca="false">'Qté 2027'!R183*$C183</f>
        <v>0</v>
      </c>
      <c r="S183" s="23" t="n">
        <f aca="false">'Qté 2027'!S183*$C183</f>
        <v>0</v>
      </c>
      <c r="T183" s="23" t="n">
        <f aca="false">'Qté 2027'!T183*$C183</f>
        <v>0</v>
      </c>
      <c r="U183" s="23" t="n">
        <f aca="false">'Qté 2027'!U183*$C183</f>
        <v>0</v>
      </c>
      <c r="V183" s="23" t="n">
        <f aca="false">'Qté 2027'!V183*$C183</f>
        <v>0</v>
      </c>
      <c r="W183" s="23" t="n">
        <f aca="false">'Qté 2027'!W183*$C183</f>
        <v>0</v>
      </c>
      <c r="X183" s="23" t="n">
        <f aca="false">'Qté 2027'!X183*$C183</f>
        <v>0</v>
      </c>
      <c r="Y183" s="23" t="n">
        <f aca="false">'Qté 2027'!Y183*$C183</f>
        <v>0</v>
      </c>
      <c r="Z183" s="23" t="n">
        <f aca="false">'Qté 2027'!Z183*$C183</f>
        <v>0</v>
      </c>
      <c r="AA183" s="23" t="n">
        <f aca="false">'Qté 2027'!AA183*$C183</f>
        <v>0</v>
      </c>
      <c r="AB183" s="23" t="n">
        <f aca="false">'Qté 2027'!AB183*$C183</f>
        <v>0</v>
      </c>
      <c r="AC183" s="23" t="n">
        <f aca="false">'Qté 2027'!AC183*$C183</f>
        <v>0</v>
      </c>
      <c r="AD183" s="23" t="n">
        <f aca="false">'Qté 2027'!AD183*$C183</f>
        <v>0</v>
      </c>
      <c r="AE183" s="23" t="n">
        <f aca="false">'Qté 2027'!AE183*$C183</f>
        <v>0</v>
      </c>
      <c r="AF183" s="23" t="n">
        <f aca="false">'Qté 2027'!AF183*$C183</f>
        <v>0</v>
      </c>
      <c r="AG183" s="23" t="n">
        <f aca="false">'Qté 2027'!AG183*$C183</f>
        <v>0.986</v>
      </c>
      <c r="AH183" s="23" t="n">
        <f aca="false">'Qté 2027'!AH183*$C183</f>
        <v>1.914</v>
      </c>
      <c r="AI183" s="23" t="n">
        <f aca="false">'Qté 2027'!AI183*$C183</f>
        <v>0.986</v>
      </c>
      <c r="AJ183" s="23" t="n">
        <f aca="false">'Qté 2027'!AJ183*$C183</f>
        <v>0</v>
      </c>
      <c r="AK183" s="23" t="n">
        <f aca="false">'Qté 2027'!AK183*$C183</f>
        <v>0</v>
      </c>
      <c r="AL183" s="23" t="n">
        <f aca="false">'Qté 2027'!AL183*$C183</f>
        <v>0</v>
      </c>
      <c r="AM183" s="23" t="n">
        <f aca="false">'Qté 2027'!AM183*$C183</f>
        <v>0</v>
      </c>
      <c r="AN183" s="23" t="n">
        <f aca="false">'Qté 2027'!AN183*$C183</f>
        <v>0</v>
      </c>
      <c r="AO183" s="23" t="n">
        <f aca="false">'Qté 2027'!AO183*$C183</f>
        <v>0</v>
      </c>
      <c r="AP183" s="23" t="n">
        <f aca="false">'Qté 2027'!AP183*$C183</f>
        <v>0</v>
      </c>
      <c r="AQ183" s="23" t="n">
        <f aca="false">'Qté 2027'!AQ183*$C183</f>
        <v>0</v>
      </c>
      <c r="AR183" s="23" t="n">
        <f aca="false">'Qté 2027'!AR183*$C183</f>
        <v>0</v>
      </c>
      <c r="AS183" s="23" t="n">
        <f aca="false">'Qté 2027'!AS183*$C183</f>
        <v>0</v>
      </c>
      <c r="AT183" s="23" t="n">
        <f aca="false">'Qté 2027'!AT183*$C183</f>
        <v>0</v>
      </c>
      <c r="AU183" s="23" t="n">
        <f aca="false">'Qté 2027'!AU183*$C183</f>
        <v>0</v>
      </c>
      <c r="AV183" s="23" t="n">
        <f aca="false">'Qté 2027'!AV183*$C183</f>
        <v>0</v>
      </c>
      <c r="AW183" s="23" t="n">
        <f aca="false">'Qté 2027'!AW183*$C183</f>
        <v>0</v>
      </c>
      <c r="AX183" s="23" t="n">
        <f aca="false">'Qté 2027'!AX183*$C183</f>
        <v>0</v>
      </c>
      <c r="AY183" s="23" t="n">
        <f aca="false">'Qté 2027'!AY183*$C183</f>
        <v>0</v>
      </c>
      <c r="AZ183" s="23" t="n">
        <f aca="false">'Qté 2027'!AZ183*$C183</f>
        <v>0</v>
      </c>
      <c r="BA183" s="23" t="n">
        <f aca="false">'Qté 2027'!BA183*$C183</f>
        <v>0</v>
      </c>
      <c r="BB183" s="23" t="n">
        <f aca="false">'Qté 2027'!BB183*$C183</f>
        <v>0</v>
      </c>
      <c r="BC183" s="23" t="n">
        <f aca="false">'Qté 2027'!BC183*$C183</f>
        <v>0</v>
      </c>
      <c r="BD183" s="15" t="n">
        <f aca="false">SUM(D183:BC183)</f>
        <v>3.886</v>
      </c>
    </row>
    <row r="184" customFormat="false" ht="15" hidden="false" customHeight="false" outlineLevel="0" collapsed="false">
      <c r="A184" s="5" t="s">
        <v>360</v>
      </c>
      <c r="B184" s="5" t="s">
        <v>63</v>
      </c>
      <c r="C184" s="22" t="n">
        <v>15.48</v>
      </c>
      <c r="D184" s="23" t="n">
        <f aca="false">'Qté 2027'!D184*$C184</f>
        <v>0</v>
      </c>
      <c r="E184" s="23" t="n">
        <f aca="false">'Qté 2027'!E184*$C184</f>
        <v>0</v>
      </c>
      <c r="F184" s="23" t="n">
        <f aca="false">'Qté 2027'!F184*$C184</f>
        <v>0</v>
      </c>
      <c r="G184" s="23" t="n">
        <f aca="false">'Qté 2027'!G184*$C184</f>
        <v>0</v>
      </c>
      <c r="H184" s="23" t="n">
        <f aca="false">'Qté 2027'!H184*$C184</f>
        <v>0</v>
      </c>
      <c r="I184" s="23" t="n">
        <f aca="false">'Qté 2027'!I184*$C184</f>
        <v>0</v>
      </c>
      <c r="J184" s="23" t="n">
        <f aca="false">'Qté 2027'!J184*$C184</f>
        <v>0</v>
      </c>
      <c r="K184" s="23" t="n">
        <f aca="false">'Qté 2027'!K184*$C184</f>
        <v>0</v>
      </c>
      <c r="L184" s="23" t="n">
        <f aca="false">'Qté 2027'!L184*$C184</f>
        <v>0</v>
      </c>
      <c r="M184" s="23" t="n">
        <f aca="false">'Qté 2027'!M184*$C184</f>
        <v>0</v>
      </c>
      <c r="N184" s="23" t="n">
        <f aca="false">'Qté 2027'!N184*$C184</f>
        <v>0</v>
      </c>
      <c r="O184" s="23" t="n">
        <f aca="false">'Qté 2027'!O184*$C184</f>
        <v>0</v>
      </c>
      <c r="P184" s="23" t="n">
        <f aca="false">'Qté 2027'!P184*$C184</f>
        <v>0.9288</v>
      </c>
      <c r="Q184" s="23" t="n">
        <f aca="false">'Qté 2027'!Q184*$C184</f>
        <v>1.7028</v>
      </c>
      <c r="R184" s="23" t="n">
        <f aca="false">'Qté 2027'!R184*$C184</f>
        <v>0.9288</v>
      </c>
      <c r="S184" s="23" t="n">
        <f aca="false">'Qté 2027'!S184*$C184</f>
        <v>0</v>
      </c>
      <c r="T184" s="23" t="n">
        <f aca="false">'Qté 2027'!T184*$C184</f>
        <v>0</v>
      </c>
      <c r="U184" s="23" t="n">
        <f aca="false">'Qté 2027'!U184*$C184</f>
        <v>0</v>
      </c>
      <c r="V184" s="23" t="n">
        <f aca="false">'Qté 2027'!V184*$C184</f>
        <v>0</v>
      </c>
      <c r="W184" s="23" t="n">
        <f aca="false">'Qté 2027'!W184*$C184</f>
        <v>0</v>
      </c>
      <c r="X184" s="23" t="n">
        <f aca="false">'Qté 2027'!X184*$C184</f>
        <v>0</v>
      </c>
      <c r="Y184" s="23" t="n">
        <f aca="false">'Qté 2027'!Y184*$C184</f>
        <v>0</v>
      </c>
      <c r="Z184" s="23" t="n">
        <f aca="false">'Qté 2027'!Z184*$C184</f>
        <v>0</v>
      </c>
      <c r="AA184" s="23" t="n">
        <f aca="false">'Qté 2027'!AA184*$C184</f>
        <v>0</v>
      </c>
      <c r="AB184" s="23" t="n">
        <f aca="false">'Qté 2027'!AB184*$C184</f>
        <v>0</v>
      </c>
      <c r="AC184" s="23" t="n">
        <f aca="false">'Qté 2027'!AC184*$C184</f>
        <v>0</v>
      </c>
      <c r="AD184" s="23" t="n">
        <f aca="false">'Qté 2027'!AD184*$C184</f>
        <v>0</v>
      </c>
      <c r="AE184" s="23" t="n">
        <f aca="false">'Qté 2027'!AE184*$C184</f>
        <v>0</v>
      </c>
      <c r="AF184" s="23" t="n">
        <f aca="false">'Qté 2027'!AF184*$C184</f>
        <v>0</v>
      </c>
      <c r="AG184" s="23" t="n">
        <f aca="false">'Qté 2027'!AG184*$C184</f>
        <v>0</v>
      </c>
      <c r="AH184" s="23" t="n">
        <f aca="false">'Qté 2027'!AH184*$C184</f>
        <v>0</v>
      </c>
      <c r="AI184" s="23" t="n">
        <f aca="false">'Qté 2027'!AI184*$C184</f>
        <v>0</v>
      </c>
      <c r="AJ184" s="23" t="n">
        <f aca="false">'Qté 2027'!AJ184*$C184</f>
        <v>0</v>
      </c>
      <c r="AK184" s="23" t="n">
        <f aca="false">'Qté 2027'!AK184*$C184</f>
        <v>0</v>
      </c>
      <c r="AL184" s="23" t="n">
        <f aca="false">'Qté 2027'!AL184*$C184</f>
        <v>0</v>
      </c>
      <c r="AM184" s="23" t="n">
        <f aca="false">'Qté 2027'!AM184*$C184</f>
        <v>0</v>
      </c>
      <c r="AN184" s="23" t="n">
        <f aca="false">'Qté 2027'!AN184*$C184</f>
        <v>0</v>
      </c>
      <c r="AO184" s="23" t="n">
        <f aca="false">'Qté 2027'!AO184*$C184</f>
        <v>0</v>
      </c>
      <c r="AP184" s="23" t="n">
        <f aca="false">'Qté 2027'!AP184*$C184</f>
        <v>0</v>
      </c>
      <c r="AQ184" s="23" t="n">
        <f aca="false">'Qté 2027'!AQ184*$C184</f>
        <v>0</v>
      </c>
      <c r="AR184" s="23" t="n">
        <f aca="false">'Qté 2027'!AR184*$C184</f>
        <v>0</v>
      </c>
      <c r="AS184" s="23" t="n">
        <f aca="false">'Qté 2027'!AS184*$C184</f>
        <v>0</v>
      </c>
      <c r="AT184" s="23" t="n">
        <f aca="false">'Qté 2027'!AT184*$C184</f>
        <v>0</v>
      </c>
      <c r="AU184" s="23" t="n">
        <f aca="false">'Qté 2027'!AU184*$C184</f>
        <v>0</v>
      </c>
      <c r="AV184" s="23" t="n">
        <f aca="false">'Qté 2027'!AV184*$C184</f>
        <v>0</v>
      </c>
      <c r="AW184" s="23" t="n">
        <f aca="false">'Qté 2027'!AW184*$C184</f>
        <v>0</v>
      </c>
      <c r="AX184" s="23" t="n">
        <f aca="false">'Qté 2027'!AX184*$C184</f>
        <v>0</v>
      </c>
      <c r="AY184" s="23" t="n">
        <f aca="false">'Qté 2027'!AY184*$C184</f>
        <v>0</v>
      </c>
      <c r="AZ184" s="23" t="n">
        <f aca="false">'Qté 2027'!AZ184*$C184</f>
        <v>0</v>
      </c>
      <c r="BA184" s="23" t="n">
        <f aca="false">'Qté 2027'!BA184*$C184</f>
        <v>0</v>
      </c>
      <c r="BB184" s="23" t="n">
        <f aca="false">'Qté 2027'!BB184*$C184</f>
        <v>0</v>
      </c>
      <c r="BC184" s="23" t="n">
        <f aca="false">'Qté 2027'!BC184*$C184</f>
        <v>0</v>
      </c>
      <c r="BD184" s="15" t="n">
        <f aca="false">SUM(D184:BC184)</f>
        <v>3.5604</v>
      </c>
    </row>
    <row r="185" customFormat="false" ht="15" hidden="false" customHeight="false" outlineLevel="0" collapsed="false">
      <c r="A185" s="5" t="s">
        <v>361</v>
      </c>
      <c r="B185" s="5" t="s">
        <v>63</v>
      </c>
      <c r="C185" s="22" t="n">
        <v>6.1</v>
      </c>
      <c r="D185" s="23" t="n">
        <f aca="false">'Qté 2027'!D185*$C185</f>
        <v>0</v>
      </c>
      <c r="E185" s="23" t="n">
        <f aca="false">'Qté 2027'!E185*$C185</f>
        <v>0</v>
      </c>
      <c r="F185" s="23" t="n">
        <f aca="false">'Qté 2027'!F185*$C185</f>
        <v>0</v>
      </c>
      <c r="G185" s="23" t="n">
        <f aca="false">'Qté 2027'!G185*$C185</f>
        <v>0</v>
      </c>
      <c r="H185" s="23" t="n">
        <f aca="false">'Qté 2027'!H185*$C185</f>
        <v>0</v>
      </c>
      <c r="I185" s="23" t="n">
        <f aca="false">'Qté 2027'!I185*$C185</f>
        <v>0</v>
      </c>
      <c r="J185" s="23" t="n">
        <f aca="false">'Qté 2027'!J185*$C185</f>
        <v>0</v>
      </c>
      <c r="K185" s="23" t="n">
        <f aca="false">'Qté 2027'!K185*$C185</f>
        <v>0</v>
      </c>
      <c r="L185" s="23" t="n">
        <f aca="false">'Qté 2027'!L185*$C185</f>
        <v>0</v>
      </c>
      <c r="M185" s="23" t="n">
        <f aca="false">'Qté 2027'!M185*$C185</f>
        <v>0</v>
      </c>
      <c r="N185" s="23" t="n">
        <f aca="false">'Qté 2027'!N185*$C185</f>
        <v>0</v>
      </c>
      <c r="O185" s="23" t="n">
        <f aca="false">'Qté 2027'!O185*$C185</f>
        <v>0</v>
      </c>
      <c r="P185" s="23" t="n">
        <f aca="false">'Qté 2027'!P185*$C185</f>
        <v>0</v>
      </c>
      <c r="Q185" s="23" t="n">
        <f aca="false">'Qté 2027'!Q185*$C185</f>
        <v>0</v>
      </c>
      <c r="R185" s="23" t="n">
        <f aca="false">'Qté 2027'!R185*$C185</f>
        <v>0</v>
      </c>
      <c r="S185" s="23" t="n">
        <f aca="false">'Qté 2027'!S185*$C185</f>
        <v>0</v>
      </c>
      <c r="T185" s="23" t="n">
        <f aca="false">'Qté 2027'!T185*$C185</f>
        <v>0</v>
      </c>
      <c r="U185" s="23" t="n">
        <f aca="false">'Qté 2027'!U185*$C185</f>
        <v>0</v>
      </c>
      <c r="V185" s="23" t="n">
        <f aca="false">'Qté 2027'!V185*$C185</f>
        <v>0</v>
      </c>
      <c r="W185" s="23" t="n">
        <f aca="false">'Qté 2027'!W185*$C185</f>
        <v>0</v>
      </c>
      <c r="X185" s="23" t="n">
        <f aca="false">'Qté 2027'!X185*$C185</f>
        <v>0</v>
      </c>
      <c r="Y185" s="23" t="n">
        <f aca="false">'Qté 2027'!Y185*$C185</f>
        <v>0</v>
      </c>
      <c r="Z185" s="23" t="n">
        <f aca="false">'Qté 2027'!Z185*$C185</f>
        <v>0</v>
      </c>
      <c r="AA185" s="23" t="n">
        <f aca="false">'Qté 2027'!AA185*$C185</f>
        <v>0</v>
      </c>
      <c r="AB185" s="23" t="n">
        <f aca="false">'Qté 2027'!AB185*$C185</f>
        <v>0</v>
      </c>
      <c r="AC185" s="23" t="n">
        <f aca="false">'Qté 2027'!AC185*$C185</f>
        <v>0</v>
      </c>
      <c r="AD185" s="23" t="n">
        <f aca="false">'Qté 2027'!AD185*$C185</f>
        <v>0</v>
      </c>
      <c r="AE185" s="23" t="n">
        <f aca="false">'Qté 2027'!AE185*$C185</f>
        <v>0</v>
      </c>
      <c r="AF185" s="23" t="n">
        <f aca="false">'Qté 2027'!AF185*$C185</f>
        <v>0</v>
      </c>
      <c r="AG185" s="23" t="n">
        <f aca="false">'Qté 2027'!AG185*$C185</f>
        <v>0</v>
      </c>
      <c r="AH185" s="23" t="n">
        <f aca="false">'Qté 2027'!AH185*$C185</f>
        <v>0.488</v>
      </c>
      <c r="AI185" s="23" t="n">
        <f aca="false">'Qté 2027'!AI185*$C185</f>
        <v>1.037</v>
      </c>
      <c r="AJ185" s="23" t="n">
        <f aca="false">'Qté 2027'!AJ185*$C185</f>
        <v>0.488</v>
      </c>
      <c r="AK185" s="23" t="n">
        <f aca="false">'Qté 2027'!AK185*$C185</f>
        <v>0.305</v>
      </c>
      <c r="AL185" s="23" t="n">
        <f aca="false">'Qté 2027'!AL185*$C185</f>
        <v>0.61</v>
      </c>
      <c r="AM185" s="23" t="n">
        <f aca="false">'Qté 2027'!AM185*$C185</f>
        <v>0.305</v>
      </c>
      <c r="AN185" s="23" t="n">
        <f aca="false">'Qté 2027'!AN185*$C185</f>
        <v>0</v>
      </c>
      <c r="AO185" s="23" t="n">
        <f aca="false">'Qté 2027'!AO185*$C185</f>
        <v>0</v>
      </c>
      <c r="AP185" s="23" t="n">
        <f aca="false">'Qté 2027'!AP185*$C185</f>
        <v>0</v>
      </c>
      <c r="AQ185" s="23" t="n">
        <f aca="false">'Qté 2027'!AQ185*$C185</f>
        <v>0</v>
      </c>
      <c r="AR185" s="23" t="n">
        <f aca="false">'Qté 2027'!AR185*$C185</f>
        <v>0</v>
      </c>
      <c r="AS185" s="23" t="n">
        <f aca="false">'Qté 2027'!AS185*$C185</f>
        <v>0</v>
      </c>
      <c r="AT185" s="23" t="n">
        <f aca="false">'Qté 2027'!AT185*$C185</f>
        <v>0</v>
      </c>
      <c r="AU185" s="23" t="n">
        <f aca="false">'Qté 2027'!AU185*$C185</f>
        <v>0</v>
      </c>
      <c r="AV185" s="23" t="n">
        <f aca="false">'Qté 2027'!AV185*$C185</f>
        <v>0</v>
      </c>
      <c r="AW185" s="23" t="n">
        <f aca="false">'Qté 2027'!AW185*$C185</f>
        <v>0</v>
      </c>
      <c r="AX185" s="23" t="n">
        <f aca="false">'Qté 2027'!AX185*$C185</f>
        <v>0</v>
      </c>
      <c r="AY185" s="23" t="n">
        <f aca="false">'Qté 2027'!AY185*$C185</f>
        <v>0</v>
      </c>
      <c r="AZ185" s="23" t="n">
        <f aca="false">'Qté 2027'!AZ185*$C185</f>
        <v>0</v>
      </c>
      <c r="BA185" s="23" t="n">
        <f aca="false">'Qté 2027'!BA185*$C185</f>
        <v>0</v>
      </c>
      <c r="BB185" s="23" t="n">
        <f aca="false">'Qté 2027'!BB185*$C185</f>
        <v>0</v>
      </c>
      <c r="BC185" s="23" t="n">
        <f aca="false">'Qté 2027'!BC185*$C185</f>
        <v>0</v>
      </c>
      <c r="BD185" s="15" t="n">
        <f aca="false">SUM(D185:BC185)</f>
        <v>3.233</v>
      </c>
    </row>
    <row r="186" customFormat="false" ht="15" hidden="false" customHeight="false" outlineLevel="0" collapsed="false">
      <c r="A186" s="5" t="s">
        <v>362</v>
      </c>
      <c r="B186" s="5" t="s">
        <v>63</v>
      </c>
      <c r="C186" s="22" t="n">
        <v>5.02</v>
      </c>
      <c r="D186" s="23" t="n">
        <f aca="false">'Qté 2027'!D186*$C186</f>
        <v>0</v>
      </c>
      <c r="E186" s="23" t="n">
        <f aca="false">'Qté 2027'!E186*$C186</f>
        <v>0</v>
      </c>
      <c r="F186" s="23" t="n">
        <f aca="false">'Qté 2027'!F186*$C186</f>
        <v>0</v>
      </c>
      <c r="G186" s="23" t="n">
        <f aca="false">'Qté 2027'!G186*$C186</f>
        <v>0</v>
      </c>
      <c r="H186" s="23" t="n">
        <f aca="false">'Qté 2027'!H186*$C186</f>
        <v>0</v>
      </c>
      <c r="I186" s="23" t="n">
        <f aca="false">'Qté 2027'!I186*$C186</f>
        <v>0</v>
      </c>
      <c r="J186" s="23" t="n">
        <f aca="false">'Qté 2027'!J186*$C186</f>
        <v>0</v>
      </c>
      <c r="K186" s="23" t="n">
        <f aca="false">'Qté 2027'!K186*$C186</f>
        <v>0</v>
      </c>
      <c r="L186" s="23" t="n">
        <f aca="false">'Qté 2027'!L186*$C186</f>
        <v>0</v>
      </c>
      <c r="M186" s="23" t="n">
        <f aca="false">'Qté 2027'!M186*$C186</f>
        <v>0</v>
      </c>
      <c r="N186" s="23" t="n">
        <f aca="false">'Qté 2027'!N186*$C186</f>
        <v>0</v>
      </c>
      <c r="O186" s="23" t="n">
        <f aca="false">'Qté 2027'!O186*$C186</f>
        <v>0</v>
      </c>
      <c r="P186" s="23" t="n">
        <f aca="false">'Qté 2027'!P186*$C186</f>
        <v>0</v>
      </c>
      <c r="Q186" s="23" t="n">
        <f aca="false">'Qté 2027'!Q186*$C186</f>
        <v>0</v>
      </c>
      <c r="R186" s="23" t="n">
        <f aca="false">'Qté 2027'!R186*$C186</f>
        <v>0</v>
      </c>
      <c r="S186" s="23" t="n">
        <f aca="false">'Qté 2027'!S186*$C186</f>
        <v>0.1004</v>
      </c>
      <c r="T186" s="23" t="n">
        <f aca="false">'Qté 2027'!T186*$C186</f>
        <v>0.251</v>
      </c>
      <c r="U186" s="23" t="n">
        <f aca="false">'Qté 2027'!U186*$C186</f>
        <v>0.1004</v>
      </c>
      <c r="V186" s="23" t="n">
        <f aca="false">'Qté 2027'!V186*$C186</f>
        <v>0.4016</v>
      </c>
      <c r="W186" s="23" t="n">
        <f aca="false">'Qté 2027'!W186*$C186</f>
        <v>0.8032</v>
      </c>
      <c r="X186" s="23" t="n">
        <f aca="false">'Qté 2027'!X186*$C186</f>
        <v>0.4016</v>
      </c>
      <c r="Y186" s="23" t="n">
        <f aca="false">'Qté 2027'!Y186*$C186</f>
        <v>0</v>
      </c>
      <c r="Z186" s="23" t="n">
        <f aca="false">'Qté 2027'!Z186*$C186</f>
        <v>0</v>
      </c>
      <c r="AA186" s="23" t="n">
        <f aca="false">'Qté 2027'!AA186*$C186</f>
        <v>0</v>
      </c>
      <c r="AB186" s="23" t="n">
        <f aca="false">'Qté 2027'!AB186*$C186</f>
        <v>0</v>
      </c>
      <c r="AC186" s="23" t="n">
        <f aca="false">'Qté 2027'!AC186*$C186</f>
        <v>0</v>
      </c>
      <c r="AD186" s="23" t="n">
        <f aca="false">'Qté 2027'!AD186*$C186</f>
        <v>0</v>
      </c>
      <c r="AE186" s="23" t="n">
        <f aca="false">'Qté 2027'!AE186*$C186</f>
        <v>0</v>
      </c>
      <c r="AF186" s="23" t="n">
        <f aca="false">'Qté 2027'!AF186*$C186</f>
        <v>0</v>
      </c>
      <c r="AG186" s="23" t="n">
        <f aca="false">'Qté 2027'!AG186*$C186</f>
        <v>0</v>
      </c>
      <c r="AH186" s="23" t="n">
        <f aca="false">'Qté 2027'!AH186*$C186</f>
        <v>0</v>
      </c>
      <c r="AI186" s="23" t="n">
        <f aca="false">'Qté 2027'!AI186*$C186</f>
        <v>0</v>
      </c>
      <c r="AJ186" s="23" t="n">
        <f aca="false">'Qté 2027'!AJ186*$C186</f>
        <v>0</v>
      </c>
      <c r="AK186" s="23" t="n">
        <f aca="false">'Qté 2027'!AK186*$C186</f>
        <v>0</v>
      </c>
      <c r="AL186" s="23" t="n">
        <f aca="false">'Qté 2027'!AL186*$C186</f>
        <v>0</v>
      </c>
      <c r="AM186" s="23" t="n">
        <f aca="false">'Qté 2027'!AM186*$C186</f>
        <v>0</v>
      </c>
      <c r="AN186" s="23" t="n">
        <f aca="false">'Qté 2027'!AN186*$C186</f>
        <v>0</v>
      </c>
      <c r="AO186" s="23" t="n">
        <f aca="false">'Qté 2027'!AO186*$C186</f>
        <v>0.251</v>
      </c>
      <c r="AP186" s="23" t="n">
        <f aca="false">'Qté 2027'!AP186*$C186</f>
        <v>0.502</v>
      </c>
      <c r="AQ186" s="23" t="n">
        <f aca="false">'Qté 2027'!AQ186*$C186</f>
        <v>0.251</v>
      </c>
      <c r="AR186" s="23" t="n">
        <f aca="false">'Qté 2027'!AR186*$C186</f>
        <v>0</v>
      </c>
      <c r="AS186" s="23" t="n">
        <f aca="false">'Qté 2027'!AS186*$C186</f>
        <v>0</v>
      </c>
      <c r="AT186" s="23" t="n">
        <f aca="false">'Qté 2027'!AT186*$C186</f>
        <v>0</v>
      </c>
      <c r="AU186" s="23" t="n">
        <f aca="false">'Qté 2027'!AU186*$C186</f>
        <v>0</v>
      </c>
      <c r="AV186" s="23" t="n">
        <f aca="false">'Qté 2027'!AV186*$C186</f>
        <v>0</v>
      </c>
      <c r="AW186" s="23" t="n">
        <f aca="false">'Qté 2027'!AW186*$C186</f>
        <v>0</v>
      </c>
      <c r="AX186" s="23" t="n">
        <f aca="false">'Qté 2027'!AX186*$C186</f>
        <v>0</v>
      </c>
      <c r="AY186" s="23" t="n">
        <f aca="false">'Qté 2027'!AY186*$C186</f>
        <v>0</v>
      </c>
      <c r="AZ186" s="23" t="n">
        <f aca="false">'Qté 2027'!AZ186*$C186</f>
        <v>0</v>
      </c>
      <c r="BA186" s="23" t="n">
        <f aca="false">'Qté 2027'!BA186*$C186</f>
        <v>0</v>
      </c>
      <c r="BB186" s="23" t="n">
        <f aca="false">'Qté 2027'!BB186*$C186</f>
        <v>0</v>
      </c>
      <c r="BC186" s="23" t="n">
        <f aca="false">'Qté 2027'!BC186*$C186</f>
        <v>0</v>
      </c>
      <c r="BD186" s="15" t="n">
        <f aca="false">SUM(D186:BC186)</f>
        <v>3.0622</v>
      </c>
    </row>
    <row r="187" customFormat="false" ht="15" hidden="false" customHeight="false" outlineLevel="0" collapsed="false">
      <c r="A187" s="5" t="s">
        <v>363</v>
      </c>
      <c r="B187" s="5" t="s">
        <v>51</v>
      </c>
      <c r="C187" s="22" t="n">
        <v>12.6</v>
      </c>
      <c r="D187" s="23" t="n">
        <f aca="false">'Qté 2027'!D187*$C187</f>
        <v>0</v>
      </c>
      <c r="E187" s="23" t="n">
        <f aca="false">'Qté 2027'!E187*$C187</f>
        <v>0</v>
      </c>
      <c r="F187" s="23" t="n">
        <f aca="false">'Qté 2027'!F187*$C187</f>
        <v>0</v>
      </c>
      <c r="G187" s="23" t="n">
        <f aca="false">'Qté 2027'!G187*$C187</f>
        <v>0</v>
      </c>
      <c r="H187" s="23" t="n">
        <f aca="false">'Qté 2027'!H187*$C187</f>
        <v>0</v>
      </c>
      <c r="I187" s="23" t="n">
        <f aca="false">'Qté 2027'!I187*$C187</f>
        <v>0.756</v>
      </c>
      <c r="J187" s="23" t="n">
        <f aca="false">'Qté 2027'!J187*$C187</f>
        <v>1.386</v>
      </c>
      <c r="K187" s="23" t="n">
        <f aca="false">'Qté 2027'!K187*$C187</f>
        <v>0.756</v>
      </c>
      <c r="L187" s="23" t="n">
        <f aca="false">'Qté 2027'!L187*$C187</f>
        <v>0</v>
      </c>
      <c r="M187" s="23" t="n">
        <f aca="false">'Qté 2027'!M187*$C187</f>
        <v>0</v>
      </c>
      <c r="N187" s="23" t="n">
        <f aca="false">'Qté 2027'!N187*$C187</f>
        <v>0</v>
      </c>
      <c r="O187" s="23" t="n">
        <f aca="false">'Qté 2027'!O187*$C187</f>
        <v>0</v>
      </c>
      <c r="P187" s="23" t="n">
        <f aca="false">'Qté 2027'!P187*$C187</f>
        <v>0</v>
      </c>
      <c r="Q187" s="23" t="n">
        <f aca="false">'Qté 2027'!Q187*$C187</f>
        <v>0</v>
      </c>
      <c r="R187" s="23" t="n">
        <f aca="false">'Qté 2027'!R187*$C187</f>
        <v>0</v>
      </c>
      <c r="S187" s="23" t="n">
        <f aca="false">'Qté 2027'!S187*$C187</f>
        <v>0</v>
      </c>
      <c r="T187" s="23" t="n">
        <f aca="false">'Qté 2027'!T187*$C187</f>
        <v>0</v>
      </c>
      <c r="U187" s="23" t="n">
        <f aca="false">'Qté 2027'!U187*$C187</f>
        <v>0</v>
      </c>
      <c r="V187" s="23" t="n">
        <f aca="false">'Qté 2027'!V187*$C187</f>
        <v>0</v>
      </c>
      <c r="W187" s="23" t="n">
        <f aca="false">'Qté 2027'!W187*$C187</f>
        <v>0</v>
      </c>
      <c r="X187" s="23" t="n">
        <f aca="false">'Qté 2027'!X187*$C187</f>
        <v>0</v>
      </c>
      <c r="Y187" s="23" t="n">
        <f aca="false">'Qté 2027'!Y187*$C187</f>
        <v>0</v>
      </c>
      <c r="Z187" s="23" t="n">
        <f aca="false">'Qté 2027'!Z187*$C187</f>
        <v>0</v>
      </c>
      <c r="AA187" s="23" t="n">
        <f aca="false">'Qté 2027'!AA187*$C187</f>
        <v>0</v>
      </c>
      <c r="AB187" s="23" t="n">
        <f aca="false">'Qté 2027'!AB187*$C187</f>
        <v>0</v>
      </c>
      <c r="AC187" s="23" t="n">
        <f aca="false">'Qté 2027'!AC187*$C187</f>
        <v>0</v>
      </c>
      <c r="AD187" s="23" t="n">
        <f aca="false">'Qté 2027'!AD187*$C187</f>
        <v>0</v>
      </c>
      <c r="AE187" s="23" t="n">
        <f aca="false">'Qté 2027'!AE187*$C187</f>
        <v>0</v>
      </c>
      <c r="AF187" s="23" t="n">
        <f aca="false">'Qté 2027'!AF187*$C187</f>
        <v>0</v>
      </c>
      <c r="AG187" s="23" t="n">
        <f aca="false">'Qté 2027'!AG187*$C187</f>
        <v>0</v>
      </c>
      <c r="AH187" s="23" t="n">
        <f aca="false">'Qté 2027'!AH187*$C187</f>
        <v>0</v>
      </c>
      <c r="AI187" s="23" t="n">
        <f aca="false">'Qté 2027'!AI187*$C187</f>
        <v>0</v>
      </c>
      <c r="AJ187" s="23" t="n">
        <f aca="false">'Qté 2027'!AJ187*$C187</f>
        <v>0</v>
      </c>
      <c r="AK187" s="23" t="n">
        <f aca="false">'Qté 2027'!AK187*$C187</f>
        <v>0</v>
      </c>
      <c r="AL187" s="23" t="n">
        <f aca="false">'Qté 2027'!AL187*$C187</f>
        <v>0</v>
      </c>
      <c r="AM187" s="23" t="n">
        <f aca="false">'Qté 2027'!AM187*$C187</f>
        <v>0</v>
      </c>
      <c r="AN187" s="23" t="n">
        <f aca="false">'Qté 2027'!AN187*$C187</f>
        <v>0</v>
      </c>
      <c r="AO187" s="23" t="n">
        <f aca="false">'Qté 2027'!AO187*$C187</f>
        <v>0</v>
      </c>
      <c r="AP187" s="23" t="n">
        <f aca="false">'Qté 2027'!AP187*$C187</f>
        <v>0</v>
      </c>
      <c r="AQ187" s="23" t="n">
        <f aca="false">'Qté 2027'!AQ187*$C187</f>
        <v>0</v>
      </c>
      <c r="AR187" s="23" t="n">
        <f aca="false">'Qté 2027'!AR187*$C187</f>
        <v>0</v>
      </c>
      <c r="AS187" s="23" t="n">
        <f aca="false">'Qté 2027'!AS187*$C187</f>
        <v>0</v>
      </c>
      <c r="AT187" s="23" t="n">
        <f aca="false">'Qté 2027'!AT187*$C187</f>
        <v>0</v>
      </c>
      <c r="AU187" s="23" t="n">
        <f aca="false">'Qté 2027'!AU187*$C187</f>
        <v>0</v>
      </c>
      <c r="AV187" s="23" t="n">
        <f aca="false">'Qté 2027'!AV187*$C187</f>
        <v>0</v>
      </c>
      <c r="AW187" s="23" t="n">
        <f aca="false">'Qté 2027'!AW187*$C187</f>
        <v>0</v>
      </c>
      <c r="AX187" s="23" t="n">
        <f aca="false">'Qté 2027'!AX187*$C187</f>
        <v>0</v>
      </c>
      <c r="AY187" s="23" t="n">
        <f aca="false">'Qté 2027'!AY187*$C187</f>
        <v>0</v>
      </c>
      <c r="AZ187" s="23" t="n">
        <f aca="false">'Qté 2027'!AZ187*$C187</f>
        <v>0</v>
      </c>
      <c r="BA187" s="23" t="n">
        <f aca="false">'Qté 2027'!BA187*$C187</f>
        <v>0</v>
      </c>
      <c r="BB187" s="23" t="n">
        <f aca="false">'Qté 2027'!BB187*$C187</f>
        <v>0</v>
      </c>
      <c r="BC187" s="23" t="n">
        <f aca="false">'Qté 2027'!BC187*$C187</f>
        <v>0</v>
      </c>
      <c r="BD187" s="15" t="n">
        <f aca="false">SUM(D187:BC187)</f>
        <v>2.898</v>
      </c>
    </row>
    <row r="188" customFormat="false" ht="15" hidden="false" customHeight="false" outlineLevel="0" collapsed="false">
      <c r="A188" s="5" t="s">
        <v>364</v>
      </c>
      <c r="B188" s="5" t="s">
        <v>63</v>
      </c>
      <c r="C188" s="22" t="n">
        <v>4</v>
      </c>
      <c r="D188" s="23" t="n">
        <f aca="false">'Qté 2027'!D188*$C188</f>
        <v>0</v>
      </c>
      <c r="E188" s="23" t="n">
        <f aca="false">'Qté 2027'!E188*$C188</f>
        <v>0</v>
      </c>
      <c r="F188" s="23" t="n">
        <f aca="false">'Qté 2027'!F188*$C188</f>
        <v>0</v>
      </c>
      <c r="G188" s="23" t="n">
        <f aca="false">'Qté 2027'!G188*$C188</f>
        <v>0</v>
      </c>
      <c r="H188" s="23" t="n">
        <f aca="false">'Qté 2027'!H188*$C188</f>
        <v>0</v>
      </c>
      <c r="I188" s="23" t="n">
        <f aca="false">'Qté 2027'!I188*$C188</f>
        <v>0</v>
      </c>
      <c r="J188" s="23" t="n">
        <f aca="false">'Qté 2027'!J188*$C188</f>
        <v>0</v>
      </c>
      <c r="K188" s="23" t="n">
        <f aca="false">'Qté 2027'!K188*$C188</f>
        <v>0</v>
      </c>
      <c r="L188" s="23" t="n">
        <f aca="false">'Qté 2027'!L188*$C188</f>
        <v>0</v>
      </c>
      <c r="M188" s="23" t="n">
        <f aca="false">'Qté 2027'!M188*$C188</f>
        <v>0</v>
      </c>
      <c r="N188" s="23" t="n">
        <f aca="false">'Qté 2027'!N188*$C188</f>
        <v>0</v>
      </c>
      <c r="O188" s="23" t="n">
        <f aca="false">'Qté 2027'!O188*$C188</f>
        <v>0</v>
      </c>
      <c r="P188" s="23" t="n">
        <f aca="false">'Qté 2027'!P188*$C188</f>
        <v>0</v>
      </c>
      <c r="Q188" s="23" t="n">
        <f aca="false">'Qté 2027'!Q188*$C188</f>
        <v>0</v>
      </c>
      <c r="R188" s="23" t="n">
        <f aca="false">'Qté 2027'!R188*$C188</f>
        <v>0</v>
      </c>
      <c r="S188" s="23" t="n">
        <f aca="false">'Qté 2027'!S188*$C188</f>
        <v>0</v>
      </c>
      <c r="T188" s="23" t="n">
        <f aca="false">'Qté 2027'!T188*$C188</f>
        <v>0</v>
      </c>
      <c r="U188" s="23" t="n">
        <f aca="false">'Qté 2027'!U188*$C188</f>
        <v>0</v>
      </c>
      <c r="V188" s="23" t="n">
        <f aca="false">'Qté 2027'!V188*$C188</f>
        <v>0</v>
      </c>
      <c r="W188" s="23" t="n">
        <f aca="false">'Qté 2027'!W188*$C188</f>
        <v>0.72</v>
      </c>
      <c r="X188" s="23" t="n">
        <f aca="false">'Qté 2027'!X188*$C188</f>
        <v>1.44</v>
      </c>
      <c r="Y188" s="23" t="n">
        <f aca="false">'Qté 2027'!Y188*$C188</f>
        <v>0.72</v>
      </c>
      <c r="Z188" s="23" t="n">
        <f aca="false">'Qté 2027'!Z188*$C188</f>
        <v>0</v>
      </c>
      <c r="AA188" s="23" t="n">
        <f aca="false">'Qté 2027'!AA188*$C188</f>
        <v>0</v>
      </c>
      <c r="AB188" s="23" t="n">
        <f aca="false">'Qté 2027'!AB188*$C188</f>
        <v>0</v>
      </c>
      <c r="AC188" s="23" t="n">
        <f aca="false">'Qté 2027'!AC188*$C188</f>
        <v>0</v>
      </c>
      <c r="AD188" s="23" t="n">
        <f aca="false">'Qté 2027'!AD188*$C188</f>
        <v>0</v>
      </c>
      <c r="AE188" s="23" t="n">
        <f aca="false">'Qté 2027'!AE188*$C188</f>
        <v>0</v>
      </c>
      <c r="AF188" s="23" t="n">
        <f aca="false">'Qté 2027'!AF188*$C188</f>
        <v>0</v>
      </c>
      <c r="AG188" s="23" t="n">
        <f aca="false">'Qté 2027'!AG188*$C188</f>
        <v>0</v>
      </c>
      <c r="AH188" s="23" t="n">
        <f aca="false">'Qté 2027'!AH188*$C188</f>
        <v>0</v>
      </c>
      <c r="AI188" s="23" t="n">
        <f aca="false">'Qté 2027'!AI188*$C188</f>
        <v>0</v>
      </c>
      <c r="AJ188" s="23" t="n">
        <f aca="false">'Qté 2027'!AJ188*$C188</f>
        <v>0</v>
      </c>
      <c r="AK188" s="23" t="n">
        <f aca="false">'Qté 2027'!AK188*$C188</f>
        <v>0</v>
      </c>
      <c r="AL188" s="23" t="n">
        <f aca="false">'Qté 2027'!AL188*$C188</f>
        <v>0</v>
      </c>
      <c r="AM188" s="23" t="n">
        <f aca="false">'Qté 2027'!AM188*$C188</f>
        <v>0</v>
      </c>
      <c r="AN188" s="23" t="n">
        <f aca="false">'Qté 2027'!AN188*$C188</f>
        <v>0</v>
      </c>
      <c r="AO188" s="23" t="n">
        <f aca="false">'Qté 2027'!AO188*$C188</f>
        <v>0</v>
      </c>
      <c r="AP188" s="23" t="n">
        <f aca="false">'Qté 2027'!AP188*$C188</f>
        <v>0</v>
      </c>
      <c r="AQ188" s="23" t="n">
        <f aca="false">'Qté 2027'!AQ188*$C188</f>
        <v>0</v>
      </c>
      <c r="AR188" s="23" t="n">
        <f aca="false">'Qté 2027'!AR188*$C188</f>
        <v>0</v>
      </c>
      <c r="AS188" s="23" t="n">
        <f aca="false">'Qté 2027'!AS188*$C188</f>
        <v>0</v>
      </c>
      <c r="AT188" s="23" t="n">
        <f aca="false">'Qté 2027'!AT188*$C188</f>
        <v>0</v>
      </c>
      <c r="AU188" s="23" t="n">
        <f aca="false">'Qté 2027'!AU188*$C188</f>
        <v>0</v>
      </c>
      <c r="AV188" s="23" t="n">
        <f aca="false">'Qté 2027'!AV188*$C188</f>
        <v>0</v>
      </c>
      <c r="AW188" s="23" t="n">
        <f aca="false">'Qté 2027'!AW188*$C188</f>
        <v>0</v>
      </c>
      <c r="AX188" s="23" t="n">
        <f aca="false">'Qté 2027'!AX188*$C188</f>
        <v>0</v>
      </c>
      <c r="AY188" s="23" t="n">
        <f aca="false">'Qté 2027'!AY188*$C188</f>
        <v>0</v>
      </c>
      <c r="AZ188" s="23" t="n">
        <f aca="false">'Qté 2027'!AZ188*$C188</f>
        <v>0</v>
      </c>
      <c r="BA188" s="23" t="n">
        <f aca="false">'Qté 2027'!BA188*$C188</f>
        <v>0</v>
      </c>
      <c r="BB188" s="23" t="n">
        <f aca="false">'Qté 2027'!BB188*$C188</f>
        <v>0</v>
      </c>
      <c r="BC188" s="23" t="n">
        <f aca="false">'Qté 2027'!BC188*$C188</f>
        <v>0</v>
      </c>
      <c r="BD188" s="15" t="n">
        <f aca="false">SUM(D188:BC188)</f>
        <v>2.88</v>
      </c>
    </row>
    <row r="189" customFormat="false" ht="15" hidden="false" customHeight="false" outlineLevel="0" collapsed="false">
      <c r="A189" s="5" t="s">
        <v>365</v>
      </c>
      <c r="B189" s="5" t="s">
        <v>64</v>
      </c>
      <c r="C189" s="22" t="n">
        <v>8.16</v>
      </c>
      <c r="D189" s="23" t="n">
        <f aca="false">'Qté 2027'!D189*$C189</f>
        <v>0</v>
      </c>
      <c r="E189" s="23" t="n">
        <f aca="false">'Qté 2027'!E189*$C189</f>
        <v>0</v>
      </c>
      <c r="F189" s="23" t="n">
        <f aca="false">'Qté 2027'!F189*$C189</f>
        <v>0</v>
      </c>
      <c r="G189" s="23" t="n">
        <f aca="false">'Qté 2027'!G189*$C189</f>
        <v>0</v>
      </c>
      <c r="H189" s="23" t="n">
        <f aca="false">'Qté 2027'!H189*$C189</f>
        <v>0</v>
      </c>
      <c r="I189" s="23" t="n">
        <f aca="false">'Qté 2027'!I189*$C189</f>
        <v>0</v>
      </c>
      <c r="J189" s="23" t="n">
        <f aca="false">'Qté 2027'!J189*$C189</f>
        <v>0</v>
      </c>
      <c r="K189" s="23" t="n">
        <f aca="false">'Qté 2027'!K189*$C189</f>
        <v>0</v>
      </c>
      <c r="L189" s="23" t="n">
        <f aca="false">'Qté 2027'!L189*$C189</f>
        <v>0</v>
      </c>
      <c r="M189" s="23" t="n">
        <f aca="false">'Qté 2027'!M189*$C189</f>
        <v>0</v>
      </c>
      <c r="N189" s="23" t="n">
        <f aca="false">'Qté 2027'!N189*$C189</f>
        <v>0</v>
      </c>
      <c r="O189" s="23" t="n">
        <f aca="false">'Qté 2027'!O189*$C189</f>
        <v>0</v>
      </c>
      <c r="P189" s="23" t="n">
        <f aca="false">'Qté 2027'!P189*$C189</f>
        <v>0</v>
      </c>
      <c r="Q189" s="23" t="n">
        <f aca="false">'Qté 2027'!Q189*$C189</f>
        <v>0</v>
      </c>
      <c r="R189" s="23" t="n">
        <f aca="false">'Qté 2027'!R189*$C189</f>
        <v>0</v>
      </c>
      <c r="S189" s="23" t="n">
        <f aca="false">'Qté 2027'!S189*$C189</f>
        <v>0</v>
      </c>
      <c r="T189" s="23" t="n">
        <f aca="false">'Qté 2027'!T189*$C189</f>
        <v>0.1632</v>
      </c>
      <c r="U189" s="23" t="n">
        <f aca="false">'Qté 2027'!U189*$C189</f>
        <v>0.408</v>
      </c>
      <c r="V189" s="23" t="n">
        <f aca="false">'Qté 2027'!V189*$C189</f>
        <v>0.1632</v>
      </c>
      <c r="W189" s="23" t="n">
        <f aca="false">'Qté 2027'!W189*$C189</f>
        <v>0</v>
      </c>
      <c r="X189" s="23" t="n">
        <f aca="false">'Qté 2027'!X189*$C189</f>
        <v>0</v>
      </c>
      <c r="Y189" s="23" t="n">
        <f aca="false">'Qté 2027'!Y189*$C189</f>
        <v>0</v>
      </c>
      <c r="Z189" s="23" t="n">
        <f aca="false">'Qté 2027'!Z189*$C189</f>
        <v>0.4896</v>
      </c>
      <c r="AA189" s="23" t="n">
        <f aca="false">'Qté 2027'!AA189*$C189</f>
        <v>0.8976</v>
      </c>
      <c r="AB189" s="23" t="n">
        <f aca="false">'Qté 2027'!AB189*$C189</f>
        <v>0.4896</v>
      </c>
      <c r="AC189" s="23" t="n">
        <f aca="false">'Qté 2027'!AC189*$C189</f>
        <v>0</v>
      </c>
      <c r="AD189" s="23" t="n">
        <f aca="false">'Qté 2027'!AD189*$C189</f>
        <v>0</v>
      </c>
      <c r="AE189" s="23" t="n">
        <f aca="false">'Qté 2027'!AE189*$C189</f>
        <v>0</v>
      </c>
      <c r="AF189" s="23" t="n">
        <f aca="false">'Qté 2027'!AF189*$C189</f>
        <v>0</v>
      </c>
      <c r="AG189" s="23" t="n">
        <f aca="false">'Qté 2027'!AG189*$C189</f>
        <v>0</v>
      </c>
      <c r="AH189" s="23" t="n">
        <f aca="false">'Qté 2027'!AH189*$C189</f>
        <v>0</v>
      </c>
      <c r="AI189" s="23" t="n">
        <f aca="false">'Qté 2027'!AI189*$C189</f>
        <v>0</v>
      </c>
      <c r="AJ189" s="23" t="n">
        <f aca="false">'Qté 2027'!AJ189*$C189</f>
        <v>0</v>
      </c>
      <c r="AK189" s="23" t="n">
        <f aca="false">'Qté 2027'!AK189*$C189</f>
        <v>0</v>
      </c>
      <c r="AL189" s="23" t="n">
        <f aca="false">'Qté 2027'!AL189*$C189</f>
        <v>0</v>
      </c>
      <c r="AM189" s="23" t="n">
        <f aca="false">'Qté 2027'!AM189*$C189</f>
        <v>0</v>
      </c>
      <c r="AN189" s="23" t="n">
        <f aca="false">'Qté 2027'!AN189*$C189</f>
        <v>0</v>
      </c>
      <c r="AO189" s="23" t="n">
        <f aca="false">'Qté 2027'!AO189*$C189</f>
        <v>0</v>
      </c>
      <c r="AP189" s="23" t="n">
        <f aca="false">'Qté 2027'!AP189*$C189</f>
        <v>0</v>
      </c>
      <c r="AQ189" s="23" t="n">
        <f aca="false">'Qté 2027'!AQ189*$C189</f>
        <v>0</v>
      </c>
      <c r="AR189" s="23" t="n">
        <f aca="false">'Qté 2027'!AR189*$C189</f>
        <v>0</v>
      </c>
      <c r="AS189" s="23" t="n">
        <f aca="false">'Qté 2027'!AS189*$C189</f>
        <v>0</v>
      </c>
      <c r="AT189" s="23" t="n">
        <f aca="false">'Qté 2027'!AT189*$C189</f>
        <v>0</v>
      </c>
      <c r="AU189" s="23" t="n">
        <f aca="false">'Qté 2027'!AU189*$C189</f>
        <v>0</v>
      </c>
      <c r="AV189" s="23" t="n">
        <f aca="false">'Qté 2027'!AV189*$C189</f>
        <v>0</v>
      </c>
      <c r="AW189" s="23" t="n">
        <f aca="false">'Qté 2027'!AW189*$C189</f>
        <v>0</v>
      </c>
      <c r="AX189" s="23" t="n">
        <f aca="false">'Qté 2027'!AX189*$C189</f>
        <v>0</v>
      </c>
      <c r="AY189" s="23" t="n">
        <f aca="false">'Qté 2027'!AY189*$C189</f>
        <v>0</v>
      </c>
      <c r="AZ189" s="23" t="n">
        <f aca="false">'Qté 2027'!AZ189*$C189</f>
        <v>0</v>
      </c>
      <c r="BA189" s="23" t="n">
        <f aca="false">'Qté 2027'!BA189*$C189</f>
        <v>0</v>
      </c>
      <c r="BB189" s="23" t="n">
        <f aca="false">'Qté 2027'!BB189*$C189</f>
        <v>0</v>
      </c>
      <c r="BC189" s="23" t="n">
        <f aca="false">'Qté 2027'!BC189*$C189</f>
        <v>0</v>
      </c>
      <c r="BD189" s="15" t="n">
        <f aca="false">SUM(D189:BC189)</f>
        <v>2.6112</v>
      </c>
    </row>
    <row r="190" customFormat="false" ht="15" hidden="false" customHeight="false" outlineLevel="0" collapsed="false">
      <c r="A190" s="5" t="s">
        <v>366</v>
      </c>
      <c r="B190" s="5" t="s">
        <v>45</v>
      </c>
      <c r="C190" s="22" t="n">
        <v>2.64</v>
      </c>
      <c r="D190" s="23" t="n">
        <f aca="false">'Qté 2027'!D190*$C190</f>
        <v>0</v>
      </c>
      <c r="E190" s="23" t="n">
        <f aca="false">'Qté 2027'!E190*$C190</f>
        <v>0</v>
      </c>
      <c r="F190" s="23" t="n">
        <f aca="false">'Qté 2027'!F190*$C190</f>
        <v>0</v>
      </c>
      <c r="G190" s="23" t="n">
        <f aca="false">'Qté 2027'!G190*$C190</f>
        <v>0</v>
      </c>
      <c r="H190" s="23" t="n">
        <f aca="false">'Qté 2027'!H190*$C190</f>
        <v>0</v>
      </c>
      <c r="I190" s="23" t="n">
        <f aca="false">'Qté 2027'!I190*$C190</f>
        <v>0</v>
      </c>
      <c r="J190" s="23" t="n">
        <f aca="false">'Qté 2027'!J190*$C190</f>
        <v>0</v>
      </c>
      <c r="K190" s="23" t="n">
        <f aca="false">'Qté 2027'!K190*$C190</f>
        <v>0</v>
      </c>
      <c r="L190" s="23" t="n">
        <f aca="false">'Qté 2027'!L190*$C190</f>
        <v>0</v>
      </c>
      <c r="M190" s="23" t="n">
        <f aca="false">'Qté 2027'!M190*$C190</f>
        <v>0</v>
      </c>
      <c r="N190" s="23" t="n">
        <f aca="false">'Qté 2027'!N190*$C190</f>
        <v>0</v>
      </c>
      <c r="O190" s="23" t="n">
        <f aca="false">'Qté 2027'!O190*$C190</f>
        <v>0</v>
      </c>
      <c r="P190" s="23" t="n">
        <f aca="false">'Qté 2027'!P190*$C190</f>
        <v>0</v>
      </c>
      <c r="Q190" s="23" t="n">
        <f aca="false">'Qté 2027'!Q190*$C190</f>
        <v>0</v>
      </c>
      <c r="R190" s="23" t="n">
        <f aca="false">'Qté 2027'!R190*$C190</f>
        <v>0</v>
      </c>
      <c r="S190" s="23" t="n">
        <f aca="false">'Qté 2027'!S190*$C190</f>
        <v>0</v>
      </c>
      <c r="T190" s="23" t="n">
        <f aca="false">'Qté 2027'!T190*$C190</f>
        <v>0</v>
      </c>
      <c r="U190" s="23" t="n">
        <f aca="false">'Qté 2027'!U190*$C190</f>
        <v>0</v>
      </c>
      <c r="V190" s="23" t="n">
        <f aca="false">'Qté 2027'!V190*$C190</f>
        <v>0.2112</v>
      </c>
      <c r="W190" s="23" t="n">
        <f aca="false">'Qté 2027'!W190*$C190</f>
        <v>0.4224</v>
      </c>
      <c r="X190" s="23" t="n">
        <f aca="false">'Qté 2027'!X190*$C190</f>
        <v>0.2112</v>
      </c>
      <c r="Y190" s="23" t="n">
        <f aca="false">'Qté 2027'!Y190*$C190</f>
        <v>0</v>
      </c>
      <c r="Z190" s="23" t="n">
        <f aca="false">'Qté 2027'!Z190*$C190</f>
        <v>0</v>
      </c>
      <c r="AA190" s="23" t="n">
        <f aca="false">'Qté 2027'!AA190*$C190</f>
        <v>0</v>
      </c>
      <c r="AB190" s="23" t="n">
        <f aca="false">'Qté 2027'!AB190*$C190</f>
        <v>0.2112</v>
      </c>
      <c r="AC190" s="23" t="n">
        <f aca="false">'Qté 2027'!AC190*$C190</f>
        <v>0.4224</v>
      </c>
      <c r="AD190" s="23" t="n">
        <f aca="false">'Qté 2027'!AD190*$C190</f>
        <v>0.2112</v>
      </c>
      <c r="AE190" s="23" t="n">
        <f aca="false">'Qté 2027'!AE190*$C190</f>
        <v>0</v>
      </c>
      <c r="AF190" s="23" t="n">
        <f aca="false">'Qté 2027'!AF190*$C190</f>
        <v>0</v>
      </c>
      <c r="AG190" s="23" t="n">
        <f aca="false">'Qté 2027'!AG190*$C190</f>
        <v>0</v>
      </c>
      <c r="AH190" s="23" t="n">
        <f aca="false">'Qté 2027'!AH190*$C190</f>
        <v>0</v>
      </c>
      <c r="AI190" s="23" t="n">
        <f aca="false">'Qté 2027'!AI190*$C190</f>
        <v>0.2112</v>
      </c>
      <c r="AJ190" s="23" t="n">
        <f aca="false">'Qté 2027'!AJ190*$C190</f>
        <v>0.4488</v>
      </c>
      <c r="AK190" s="23" t="n">
        <f aca="false">'Qté 2027'!AK190*$C190</f>
        <v>0.2112</v>
      </c>
      <c r="AL190" s="23" t="n">
        <f aca="false">'Qté 2027'!AL190*$C190</f>
        <v>0</v>
      </c>
      <c r="AM190" s="23" t="n">
        <f aca="false">'Qté 2027'!AM190*$C190</f>
        <v>0</v>
      </c>
      <c r="AN190" s="23" t="n">
        <f aca="false">'Qté 2027'!AN190*$C190</f>
        <v>0</v>
      </c>
      <c r="AO190" s="23" t="n">
        <f aca="false">'Qté 2027'!AO190*$C190</f>
        <v>0</v>
      </c>
      <c r="AP190" s="23" t="n">
        <f aca="false">'Qté 2027'!AP190*$C190</f>
        <v>0</v>
      </c>
      <c r="AQ190" s="23" t="n">
        <f aca="false">'Qté 2027'!AQ190*$C190</f>
        <v>0</v>
      </c>
      <c r="AR190" s="23" t="n">
        <f aca="false">'Qté 2027'!AR190*$C190</f>
        <v>0</v>
      </c>
      <c r="AS190" s="23" t="n">
        <f aca="false">'Qté 2027'!AS190*$C190</f>
        <v>0</v>
      </c>
      <c r="AT190" s="23" t="n">
        <f aca="false">'Qté 2027'!AT190*$C190</f>
        <v>0</v>
      </c>
      <c r="AU190" s="23" t="n">
        <f aca="false">'Qté 2027'!AU190*$C190</f>
        <v>0</v>
      </c>
      <c r="AV190" s="23" t="n">
        <f aca="false">'Qté 2027'!AV190*$C190</f>
        <v>0</v>
      </c>
      <c r="AW190" s="23" t="n">
        <f aca="false">'Qté 2027'!AW190*$C190</f>
        <v>0</v>
      </c>
      <c r="AX190" s="23" t="n">
        <f aca="false">'Qté 2027'!AX190*$C190</f>
        <v>0</v>
      </c>
      <c r="AY190" s="23" t="n">
        <f aca="false">'Qté 2027'!AY190*$C190</f>
        <v>0</v>
      </c>
      <c r="AZ190" s="23" t="n">
        <f aca="false">'Qté 2027'!AZ190*$C190</f>
        <v>0</v>
      </c>
      <c r="BA190" s="23" t="n">
        <f aca="false">'Qté 2027'!BA190*$C190</f>
        <v>0</v>
      </c>
      <c r="BB190" s="23" t="n">
        <f aca="false">'Qté 2027'!BB190*$C190</f>
        <v>0</v>
      </c>
      <c r="BC190" s="23" t="n">
        <f aca="false">'Qté 2027'!BC190*$C190</f>
        <v>0</v>
      </c>
      <c r="BD190" s="15" t="n">
        <f aca="false">SUM(D190:BC190)</f>
        <v>2.5608</v>
      </c>
    </row>
    <row r="191" customFormat="false" ht="15" hidden="false" customHeight="false" outlineLevel="0" collapsed="false">
      <c r="A191" s="5" t="s">
        <v>367</v>
      </c>
      <c r="B191" s="5" t="s">
        <v>63</v>
      </c>
      <c r="C191" s="22" t="n">
        <v>6.42</v>
      </c>
      <c r="D191" s="23" t="n">
        <f aca="false">'Qté 2027'!D191*$C191</f>
        <v>0</v>
      </c>
      <c r="E191" s="23" t="n">
        <f aca="false">'Qté 2027'!E191*$C191</f>
        <v>0</v>
      </c>
      <c r="F191" s="23" t="n">
        <f aca="false">'Qté 2027'!F191*$C191</f>
        <v>0</v>
      </c>
      <c r="G191" s="23" t="n">
        <f aca="false">'Qté 2027'!G191*$C191</f>
        <v>0</v>
      </c>
      <c r="H191" s="23" t="n">
        <f aca="false">'Qté 2027'!H191*$C191</f>
        <v>0</v>
      </c>
      <c r="I191" s="23" t="n">
        <f aca="false">'Qté 2027'!I191*$C191</f>
        <v>0</v>
      </c>
      <c r="J191" s="23" t="n">
        <f aca="false">'Qté 2027'!J191*$C191</f>
        <v>0</v>
      </c>
      <c r="K191" s="23" t="n">
        <f aca="false">'Qté 2027'!K191*$C191</f>
        <v>0</v>
      </c>
      <c r="L191" s="23" t="n">
        <f aca="false">'Qté 2027'!L191*$C191</f>
        <v>0</v>
      </c>
      <c r="M191" s="23" t="n">
        <f aca="false">'Qté 2027'!M191*$C191</f>
        <v>0</v>
      </c>
      <c r="N191" s="23" t="n">
        <f aca="false">'Qté 2027'!N191*$C191</f>
        <v>0</v>
      </c>
      <c r="O191" s="23" t="n">
        <f aca="false">'Qté 2027'!O191*$C191</f>
        <v>0</v>
      </c>
      <c r="P191" s="23" t="n">
        <f aca="false">'Qté 2027'!P191*$C191</f>
        <v>0</v>
      </c>
      <c r="Q191" s="23" t="n">
        <f aca="false">'Qté 2027'!Q191*$C191</f>
        <v>0</v>
      </c>
      <c r="R191" s="23" t="n">
        <f aca="false">'Qté 2027'!R191*$C191</f>
        <v>0</v>
      </c>
      <c r="S191" s="23" t="n">
        <f aca="false">'Qté 2027'!S191*$C191</f>
        <v>0</v>
      </c>
      <c r="T191" s="23" t="n">
        <f aca="false">'Qté 2027'!T191*$C191</f>
        <v>0</v>
      </c>
      <c r="U191" s="23" t="n">
        <f aca="false">'Qté 2027'!U191*$C191</f>
        <v>0</v>
      </c>
      <c r="V191" s="23" t="n">
        <f aca="false">'Qté 2027'!V191*$C191</f>
        <v>0</v>
      </c>
      <c r="W191" s="23" t="n">
        <f aca="false">'Qté 2027'!W191*$C191</f>
        <v>0</v>
      </c>
      <c r="X191" s="23" t="n">
        <f aca="false">'Qté 2027'!X191*$C191</f>
        <v>0</v>
      </c>
      <c r="Y191" s="23" t="n">
        <f aca="false">'Qté 2027'!Y191*$C191</f>
        <v>0</v>
      </c>
      <c r="Z191" s="23" t="n">
        <f aca="false">'Qté 2027'!Z191*$C191</f>
        <v>0</v>
      </c>
      <c r="AA191" s="23" t="n">
        <f aca="false">'Qté 2027'!AA191*$C191</f>
        <v>0</v>
      </c>
      <c r="AB191" s="23" t="n">
        <f aca="false">'Qté 2027'!AB191*$C191</f>
        <v>0</v>
      </c>
      <c r="AC191" s="23" t="n">
        <f aca="false">'Qté 2027'!AC191*$C191</f>
        <v>0</v>
      </c>
      <c r="AD191" s="23" t="n">
        <f aca="false">'Qté 2027'!AD191*$C191</f>
        <v>0</v>
      </c>
      <c r="AE191" s="23" t="n">
        <f aca="false">'Qté 2027'!AE191*$C191</f>
        <v>0</v>
      </c>
      <c r="AF191" s="23" t="n">
        <f aca="false">'Qté 2027'!AF191*$C191</f>
        <v>0</v>
      </c>
      <c r="AG191" s="23" t="n">
        <f aca="false">'Qté 2027'!AG191*$C191</f>
        <v>0.5136</v>
      </c>
      <c r="AH191" s="23" t="n">
        <f aca="false">'Qté 2027'!AH191*$C191</f>
        <v>1.0914</v>
      </c>
      <c r="AI191" s="23" t="n">
        <f aca="false">'Qté 2027'!AI191*$C191</f>
        <v>0.5136</v>
      </c>
      <c r="AJ191" s="23" t="n">
        <f aca="false">'Qté 2027'!AJ191*$C191</f>
        <v>0</v>
      </c>
      <c r="AK191" s="23" t="n">
        <f aca="false">'Qté 2027'!AK191*$C191</f>
        <v>0</v>
      </c>
      <c r="AL191" s="23" t="n">
        <f aca="false">'Qté 2027'!AL191*$C191</f>
        <v>0</v>
      </c>
      <c r="AM191" s="23" t="n">
        <f aca="false">'Qté 2027'!AM191*$C191</f>
        <v>0</v>
      </c>
      <c r="AN191" s="23" t="n">
        <f aca="false">'Qté 2027'!AN191*$C191</f>
        <v>0</v>
      </c>
      <c r="AO191" s="23" t="n">
        <f aca="false">'Qté 2027'!AO191*$C191</f>
        <v>0</v>
      </c>
      <c r="AP191" s="23" t="n">
        <f aca="false">'Qté 2027'!AP191*$C191</f>
        <v>0</v>
      </c>
      <c r="AQ191" s="23" t="n">
        <f aca="false">'Qté 2027'!AQ191*$C191</f>
        <v>0</v>
      </c>
      <c r="AR191" s="23" t="n">
        <f aca="false">'Qté 2027'!AR191*$C191</f>
        <v>0</v>
      </c>
      <c r="AS191" s="23" t="n">
        <f aca="false">'Qté 2027'!AS191*$C191</f>
        <v>0</v>
      </c>
      <c r="AT191" s="23" t="n">
        <f aca="false">'Qté 2027'!AT191*$C191</f>
        <v>0</v>
      </c>
      <c r="AU191" s="23" t="n">
        <f aca="false">'Qté 2027'!AU191*$C191</f>
        <v>0</v>
      </c>
      <c r="AV191" s="23" t="n">
        <f aca="false">'Qté 2027'!AV191*$C191</f>
        <v>0</v>
      </c>
      <c r="AW191" s="23" t="n">
        <f aca="false">'Qté 2027'!AW191*$C191</f>
        <v>0</v>
      </c>
      <c r="AX191" s="23" t="n">
        <f aca="false">'Qté 2027'!AX191*$C191</f>
        <v>0</v>
      </c>
      <c r="AY191" s="23" t="n">
        <f aca="false">'Qté 2027'!AY191*$C191</f>
        <v>0</v>
      </c>
      <c r="AZ191" s="23" t="n">
        <f aca="false">'Qté 2027'!AZ191*$C191</f>
        <v>0</v>
      </c>
      <c r="BA191" s="23" t="n">
        <f aca="false">'Qté 2027'!BA191*$C191</f>
        <v>0</v>
      </c>
      <c r="BB191" s="23" t="n">
        <f aca="false">'Qté 2027'!BB191*$C191</f>
        <v>0</v>
      </c>
      <c r="BC191" s="23" t="n">
        <f aca="false">'Qté 2027'!BC191*$C191</f>
        <v>0</v>
      </c>
      <c r="BD191" s="15" t="n">
        <f aca="false">SUM(D191:BC191)</f>
        <v>2.1186</v>
      </c>
    </row>
    <row r="192" customFormat="false" ht="15" hidden="false" customHeight="false" outlineLevel="0" collapsed="false">
      <c r="A192" s="5" t="s">
        <v>368</v>
      </c>
      <c r="B192" s="5" t="s">
        <v>64</v>
      </c>
      <c r="C192" s="22" t="n">
        <v>2.02</v>
      </c>
      <c r="D192" s="23" t="n">
        <f aca="false">'Qté 2027'!D192*$C192</f>
        <v>0</v>
      </c>
      <c r="E192" s="23" t="n">
        <f aca="false">'Qté 2027'!E192*$C192</f>
        <v>0</v>
      </c>
      <c r="F192" s="23" t="n">
        <f aca="false">'Qté 2027'!F192*$C192</f>
        <v>0</v>
      </c>
      <c r="G192" s="23" t="n">
        <f aca="false">'Qté 2027'!G192*$C192</f>
        <v>0</v>
      </c>
      <c r="H192" s="23" t="n">
        <f aca="false">'Qté 2027'!H192*$C192</f>
        <v>0</v>
      </c>
      <c r="I192" s="23" t="n">
        <f aca="false">'Qté 2027'!I192*$C192</f>
        <v>0</v>
      </c>
      <c r="J192" s="23" t="n">
        <f aca="false">'Qté 2027'!J192*$C192</f>
        <v>0</v>
      </c>
      <c r="K192" s="23" t="n">
        <f aca="false">'Qté 2027'!K192*$C192</f>
        <v>0</v>
      </c>
      <c r="L192" s="23" t="n">
        <f aca="false">'Qté 2027'!L192*$C192</f>
        <v>0</v>
      </c>
      <c r="M192" s="23" t="n">
        <f aca="false">'Qté 2027'!M192*$C192</f>
        <v>0</v>
      </c>
      <c r="N192" s="23" t="n">
        <f aca="false">'Qté 2027'!N192*$C192</f>
        <v>0</v>
      </c>
      <c r="O192" s="23" t="n">
        <f aca="false">'Qté 2027'!O192*$C192</f>
        <v>0</v>
      </c>
      <c r="P192" s="23" t="n">
        <f aca="false">'Qté 2027'!P192*$C192</f>
        <v>0</v>
      </c>
      <c r="Q192" s="23" t="n">
        <f aca="false">'Qté 2027'!Q192*$C192</f>
        <v>0</v>
      </c>
      <c r="R192" s="23" t="n">
        <f aca="false">'Qté 2027'!R192*$C192</f>
        <v>0</v>
      </c>
      <c r="S192" s="23" t="n">
        <f aca="false">'Qté 2027'!S192*$C192</f>
        <v>0</v>
      </c>
      <c r="T192" s="23" t="n">
        <f aca="false">'Qté 2027'!T192*$C192</f>
        <v>0.1818</v>
      </c>
      <c r="U192" s="23" t="n">
        <f aca="false">'Qté 2027'!U192*$C192</f>
        <v>0.3636</v>
      </c>
      <c r="V192" s="23" t="n">
        <f aca="false">'Qté 2027'!V192*$C192</f>
        <v>0.1818</v>
      </c>
      <c r="W192" s="23" t="n">
        <f aca="false">'Qté 2027'!W192*$C192</f>
        <v>0</v>
      </c>
      <c r="X192" s="23" t="n">
        <f aca="false">'Qté 2027'!X192*$C192</f>
        <v>0</v>
      </c>
      <c r="Y192" s="23" t="n">
        <f aca="false">'Qté 2027'!Y192*$C192</f>
        <v>0</v>
      </c>
      <c r="Z192" s="23" t="n">
        <f aca="false">'Qté 2027'!Z192*$C192</f>
        <v>0</v>
      </c>
      <c r="AA192" s="23" t="n">
        <f aca="false">'Qté 2027'!AA192*$C192</f>
        <v>0</v>
      </c>
      <c r="AB192" s="23" t="n">
        <f aca="false">'Qté 2027'!AB192*$C192</f>
        <v>0.3434</v>
      </c>
      <c r="AC192" s="23" t="n">
        <f aca="false">'Qté 2027'!AC192*$C192</f>
        <v>0.6868</v>
      </c>
      <c r="AD192" s="23" t="n">
        <f aca="false">'Qté 2027'!AD192*$C192</f>
        <v>0.3434</v>
      </c>
      <c r="AE192" s="23" t="n">
        <f aca="false">'Qté 2027'!AE192*$C192</f>
        <v>0</v>
      </c>
      <c r="AF192" s="23" t="n">
        <f aca="false">'Qté 2027'!AF192*$C192</f>
        <v>0</v>
      </c>
      <c r="AG192" s="23" t="n">
        <f aca="false">'Qté 2027'!AG192*$C192</f>
        <v>0</v>
      </c>
      <c r="AH192" s="23" t="n">
        <f aca="false">'Qté 2027'!AH192*$C192</f>
        <v>0</v>
      </c>
      <c r="AI192" s="23" t="n">
        <f aca="false">'Qté 2027'!AI192*$C192</f>
        <v>0</v>
      </c>
      <c r="AJ192" s="23" t="n">
        <f aca="false">'Qté 2027'!AJ192*$C192</f>
        <v>0</v>
      </c>
      <c r="AK192" s="23" t="n">
        <f aca="false">'Qté 2027'!AK192*$C192</f>
        <v>0</v>
      </c>
      <c r="AL192" s="23" t="n">
        <f aca="false">'Qté 2027'!AL192*$C192</f>
        <v>0</v>
      </c>
      <c r="AM192" s="23" t="n">
        <f aca="false">'Qté 2027'!AM192*$C192</f>
        <v>0</v>
      </c>
      <c r="AN192" s="23" t="n">
        <f aca="false">'Qté 2027'!AN192*$C192</f>
        <v>0</v>
      </c>
      <c r="AO192" s="23" t="n">
        <f aca="false">'Qté 2027'!AO192*$C192</f>
        <v>0</v>
      </c>
      <c r="AP192" s="23" t="n">
        <f aca="false">'Qté 2027'!AP192*$C192</f>
        <v>0</v>
      </c>
      <c r="AQ192" s="23" t="n">
        <f aca="false">'Qté 2027'!AQ192*$C192</f>
        <v>0</v>
      </c>
      <c r="AR192" s="23" t="n">
        <f aca="false">'Qté 2027'!AR192*$C192</f>
        <v>0</v>
      </c>
      <c r="AS192" s="23" t="n">
        <f aca="false">'Qté 2027'!AS192*$C192</f>
        <v>0</v>
      </c>
      <c r="AT192" s="23" t="n">
        <f aca="false">'Qté 2027'!AT192*$C192</f>
        <v>0</v>
      </c>
      <c r="AU192" s="23" t="n">
        <f aca="false">'Qté 2027'!AU192*$C192</f>
        <v>0</v>
      </c>
      <c r="AV192" s="23" t="n">
        <f aca="false">'Qté 2027'!AV192*$C192</f>
        <v>0</v>
      </c>
      <c r="AW192" s="23" t="n">
        <f aca="false">'Qté 2027'!AW192*$C192</f>
        <v>0</v>
      </c>
      <c r="AX192" s="23" t="n">
        <f aca="false">'Qté 2027'!AX192*$C192</f>
        <v>0</v>
      </c>
      <c r="AY192" s="23" t="n">
        <f aca="false">'Qté 2027'!AY192*$C192</f>
        <v>0</v>
      </c>
      <c r="AZ192" s="23" t="n">
        <f aca="false">'Qté 2027'!AZ192*$C192</f>
        <v>0</v>
      </c>
      <c r="BA192" s="23" t="n">
        <f aca="false">'Qté 2027'!BA192*$C192</f>
        <v>0</v>
      </c>
      <c r="BB192" s="23" t="n">
        <f aca="false">'Qté 2027'!BB192*$C192</f>
        <v>0</v>
      </c>
      <c r="BC192" s="23" t="n">
        <f aca="false">'Qté 2027'!BC192*$C192</f>
        <v>0</v>
      </c>
      <c r="BD192" s="15" t="n">
        <f aca="false">SUM(D192:BC192)</f>
        <v>2.1008</v>
      </c>
    </row>
    <row r="193" customFormat="false" ht="15" hidden="false" customHeight="false" outlineLevel="0" collapsed="false">
      <c r="A193" s="5" t="s">
        <v>369</v>
      </c>
      <c r="B193" s="5" t="s">
        <v>69</v>
      </c>
      <c r="C193" s="22" t="n">
        <v>5.4</v>
      </c>
      <c r="D193" s="23" t="n">
        <f aca="false">'Qté 2027'!D193*$C193</f>
        <v>0</v>
      </c>
      <c r="E193" s="23" t="n">
        <f aca="false">'Qté 2027'!E193*$C193</f>
        <v>0</v>
      </c>
      <c r="F193" s="23" t="n">
        <f aca="false">'Qté 2027'!F193*$C193</f>
        <v>0</v>
      </c>
      <c r="G193" s="23" t="n">
        <f aca="false">'Qté 2027'!G193*$C193</f>
        <v>0</v>
      </c>
      <c r="H193" s="23" t="n">
        <f aca="false">'Qté 2027'!H193*$C193</f>
        <v>0</v>
      </c>
      <c r="I193" s="23" t="n">
        <f aca="false">'Qté 2027'!I193*$C193</f>
        <v>0</v>
      </c>
      <c r="J193" s="23" t="n">
        <f aca="false">'Qté 2027'!J193*$C193</f>
        <v>0</v>
      </c>
      <c r="K193" s="23" t="n">
        <f aca="false">'Qté 2027'!K193*$C193</f>
        <v>0</v>
      </c>
      <c r="L193" s="23" t="n">
        <f aca="false">'Qté 2027'!L193*$C193</f>
        <v>0</v>
      </c>
      <c r="M193" s="23" t="n">
        <f aca="false">'Qté 2027'!M193*$C193</f>
        <v>0</v>
      </c>
      <c r="N193" s="23" t="n">
        <f aca="false">'Qté 2027'!N193*$C193</f>
        <v>0</v>
      </c>
      <c r="O193" s="23" t="n">
        <f aca="false">'Qté 2027'!O193*$C193</f>
        <v>0</v>
      </c>
      <c r="P193" s="23" t="n">
        <f aca="false">'Qté 2027'!P193*$C193</f>
        <v>0</v>
      </c>
      <c r="Q193" s="23" t="n">
        <f aca="false">'Qté 2027'!Q193*$C193</f>
        <v>0</v>
      </c>
      <c r="R193" s="23" t="n">
        <f aca="false">'Qté 2027'!R193*$C193</f>
        <v>0</v>
      </c>
      <c r="S193" s="23" t="n">
        <f aca="false">'Qté 2027'!S193*$C193</f>
        <v>0</v>
      </c>
      <c r="T193" s="23" t="n">
        <f aca="false">'Qté 2027'!T193*$C193</f>
        <v>0</v>
      </c>
      <c r="U193" s="23" t="n">
        <f aca="false">'Qté 2027'!U193*$C193</f>
        <v>0</v>
      </c>
      <c r="V193" s="23" t="n">
        <f aca="false">'Qté 2027'!V193*$C193</f>
        <v>0</v>
      </c>
      <c r="W193" s="23" t="n">
        <f aca="false">'Qté 2027'!W193*$C193</f>
        <v>0</v>
      </c>
      <c r="X193" s="23" t="n">
        <f aca="false">'Qté 2027'!X193*$C193</f>
        <v>0</v>
      </c>
      <c r="Y193" s="23" t="n">
        <f aca="false">'Qté 2027'!Y193*$C193</f>
        <v>0</v>
      </c>
      <c r="Z193" s="23" t="n">
        <f aca="false">'Qté 2027'!Z193*$C193</f>
        <v>0</v>
      </c>
      <c r="AA193" s="23" t="n">
        <f aca="false">'Qté 2027'!AA193*$C193</f>
        <v>0</v>
      </c>
      <c r="AB193" s="23" t="n">
        <f aca="false">'Qté 2027'!AB193*$C193</f>
        <v>0</v>
      </c>
      <c r="AC193" s="23" t="n">
        <f aca="false">'Qté 2027'!AC193*$C193</f>
        <v>0</v>
      </c>
      <c r="AD193" s="23" t="n">
        <f aca="false">'Qté 2027'!AD193*$C193</f>
        <v>0</v>
      </c>
      <c r="AE193" s="23" t="n">
        <f aca="false">'Qté 2027'!AE193*$C193</f>
        <v>0</v>
      </c>
      <c r="AF193" s="23" t="n">
        <f aca="false">'Qté 2027'!AF193*$C193</f>
        <v>0</v>
      </c>
      <c r="AG193" s="23" t="n">
        <f aca="false">'Qté 2027'!AG193*$C193</f>
        <v>0</v>
      </c>
      <c r="AH193" s="23" t="n">
        <f aca="false">'Qté 2027'!AH193*$C193</f>
        <v>0.432</v>
      </c>
      <c r="AI193" s="23" t="n">
        <f aca="false">'Qté 2027'!AI193*$C193</f>
        <v>0.918</v>
      </c>
      <c r="AJ193" s="23" t="n">
        <f aca="false">'Qté 2027'!AJ193*$C193</f>
        <v>0.432</v>
      </c>
      <c r="AK193" s="23" t="n">
        <f aca="false">'Qté 2027'!AK193*$C193</f>
        <v>0</v>
      </c>
      <c r="AL193" s="23" t="n">
        <f aca="false">'Qté 2027'!AL193*$C193</f>
        <v>0</v>
      </c>
      <c r="AM193" s="23" t="n">
        <f aca="false">'Qté 2027'!AM193*$C193</f>
        <v>0</v>
      </c>
      <c r="AN193" s="23" t="n">
        <f aca="false">'Qté 2027'!AN193*$C193</f>
        <v>0</v>
      </c>
      <c r="AO193" s="23" t="n">
        <f aca="false">'Qté 2027'!AO193*$C193</f>
        <v>0</v>
      </c>
      <c r="AP193" s="23" t="n">
        <f aca="false">'Qté 2027'!AP193*$C193</f>
        <v>0</v>
      </c>
      <c r="AQ193" s="23" t="n">
        <f aca="false">'Qté 2027'!AQ193*$C193</f>
        <v>0</v>
      </c>
      <c r="AR193" s="23" t="n">
        <f aca="false">'Qté 2027'!AR193*$C193</f>
        <v>0</v>
      </c>
      <c r="AS193" s="23" t="n">
        <f aca="false">'Qté 2027'!AS193*$C193</f>
        <v>0</v>
      </c>
      <c r="AT193" s="23" t="n">
        <f aca="false">'Qté 2027'!AT193*$C193</f>
        <v>0</v>
      </c>
      <c r="AU193" s="23" t="n">
        <f aca="false">'Qté 2027'!AU193*$C193</f>
        <v>0</v>
      </c>
      <c r="AV193" s="23" t="n">
        <f aca="false">'Qté 2027'!AV193*$C193</f>
        <v>0</v>
      </c>
      <c r="AW193" s="23" t="n">
        <f aca="false">'Qté 2027'!AW193*$C193</f>
        <v>0</v>
      </c>
      <c r="AX193" s="23" t="n">
        <f aca="false">'Qté 2027'!AX193*$C193</f>
        <v>0</v>
      </c>
      <c r="AY193" s="23" t="n">
        <f aca="false">'Qté 2027'!AY193*$C193</f>
        <v>0</v>
      </c>
      <c r="AZ193" s="23" t="n">
        <f aca="false">'Qté 2027'!AZ193*$C193</f>
        <v>0</v>
      </c>
      <c r="BA193" s="23" t="n">
        <f aca="false">'Qté 2027'!BA193*$C193</f>
        <v>0</v>
      </c>
      <c r="BB193" s="23" t="n">
        <f aca="false">'Qté 2027'!BB193*$C193</f>
        <v>0</v>
      </c>
      <c r="BC193" s="23" t="n">
        <f aca="false">'Qté 2027'!BC193*$C193</f>
        <v>0</v>
      </c>
      <c r="BD193" s="15" t="n">
        <f aca="false">SUM(D193:BC193)</f>
        <v>1.782</v>
      </c>
    </row>
    <row r="194" customFormat="false" ht="15" hidden="false" customHeight="false" outlineLevel="0" collapsed="false">
      <c r="A194" s="5" t="s">
        <v>370</v>
      </c>
      <c r="B194" s="5" t="s">
        <v>64</v>
      </c>
      <c r="C194" s="22" t="n">
        <v>2.35</v>
      </c>
      <c r="D194" s="23" t="n">
        <f aca="false">'Qté 2027'!D194*$C194</f>
        <v>0</v>
      </c>
      <c r="E194" s="23" t="n">
        <f aca="false">'Qté 2027'!E194*$C194</f>
        <v>0</v>
      </c>
      <c r="F194" s="23" t="n">
        <f aca="false">'Qté 2027'!F194*$C194</f>
        <v>0</v>
      </c>
      <c r="G194" s="23" t="n">
        <f aca="false">'Qté 2027'!G194*$C194</f>
        <v>0</v>
      </c>
      <c r="H194" s="23" t="n">
        <f aca="false">'Qté 2027'!H194*$C194</f>
        <v>0</v>
      </c>
      <c r="I194" s="23" t="n">
        <f aca="false">'Qté 2027'!I194*$C194</f>
        <v>0</v>
      </c>
      <c r="J194" s="23" t="n">
        <f aca="false">'Qté 2027'!J194*$C194</f>
        <v>0</v>
      </c>
      <c r="K194" s="23" t="n">
        <f aca="false">'Qté 2027'!K194*$C194</f>
        <v>0</v>
      </c>
      <c r="L194" s="23" t="n">
        <f aca="false">'Qté 2027'!L194*$C194</f>
        <v>0</v>
      </c>
      <c r="M194" s="23" t="n">
        <f aca="false">'Qté 2027'!M194*$C194</f>
        <v>0</v>
      </c>
      <c r="N194" s="23" t="n">
        <f aca="false">'Qté 2027'!N194*$C194</f>
        <v>0</v>
      </c>
      <c r="O194" s="23" t="n">
        <f aca="false">'Qté 2027'!O194*$C194</f>
        <v>0</v>
      </c>
      <c r="P194" s="23" t="n">
        <f aca="false">'Qté 2027'!P194*$C194</f>
        <v>0</v>
      </c>
      <c r="Q194" s="23" t="n">
        <f aca="false">'Qté 2027'!Q194*$C194</f>
        <v>0</v>
      </c>
      <c r="R194" s="23" t="n">
        <f aca="false">'Qté 2027'!R194*$C194</f>
        <v>0</v>
      </c>
      <c r="S194" s="23" t="n">
        <f aca="false">'Qté 2027'!S194*$C194</f>
        <v>0</v>
      </c>
      <c r="T194" s="23" t="n">
        <f aca="false">'Qté 2027'!T194*$C194</f>
        <v>0</v>
      </c>
      <c r="U194" s="23" t="n">
        <f aca="false">'Qté 2027'!U194*$C194</f>
        <v>0</v>
      </c>
      <c r="V194" s="23" t="n">
        <f aca="false">'Qté 2027'!V194*$C194</f>
        <v>0</v>
      </c>
      <c r="W194" s="23" t="n">
        <f aca="false">'Qté 2027'!W194*$C194</f>
        <v>0</v>
      </c>
      <c r="X194" s="23" t="n">
        <f aca="false">'Qté 2027'!X194*$C194</f>
        <v>0.141</v>
      </c>
      <c r="Y194" s="23" t="n">
        <f aca="false">'Qté 2027'!Y194*$C194</f>
        <v>0.2585</v>
      </c>
      <c r="Z194" s="23" t="n">
        <f aca="false">'Qté 2027'!Z194*$C194</f>
        <v>0.141</v>
      </c>
      <c r="AA194" s="23" t="n">
        <f aca="false">'Qté 2027'!AA194*$C194</f>
        <v>0</v>
      </c>
      <c r="AB194" s="23" t="n">
        <f aca="false">'Qté 2027'!AB194*$C194</f>
        <v>0</v>
      </c>
      <c r="AC194" s="23" t="n">
        <f aca="false">'Qté 2027'!AC194*$C194</f>
        <v>0</v>
      </c>
      <c r="AD194" s="23" t="n">
        <f aca="false">'Qté 2027'!AD194*$C194</f>
        <v>0</v>
      </c>
      <c r="AE194" s="23" t="n">
        <f aca="false">'Qté 2027'!AE194*$C194</f>
        <v>0</v>
      </c>
      <c r="AF194" s="23" t="n">
        <f aca="false">'Qté 2027'!AF194*$C194</f>
        <v>0.188</v>
      </c>
      <c r="AG194" s="23" t="n">
        <f aca="false">'Qté 2027'!AG194*$C194</f>
        <v>0.3995</v>
      </c>
      <c r="AH194" s="23" t="n">
        <f aca="false">'Qté 2027'!AH194*$C194</f>
        <v>0.188</v>
      </c>
      <c r="AI194" s="23" t="n">
        <f aca="false">'Qté 2027'!AI194*$C194</f>
        <v>0</v>
      </c>
      <c r="AJ194" s="23" t="n">
        <f aca="false">'Qté 2027'!AJ194*$C194</f>
        <v>0</v>
      </c>
      <c r="AK194" s="23" t="n">
        <f aca="false">'Qté 2027'!AK194*$C194</f>
        <v>0</v>
      </c>
      <c r="AL194" s="23" t="n">
        <f aca="false">'Qté 2027'!AL194*$C194</f>
        <v>0</v>
      </c>
      <c r="AM194" s="23" t="n">
        <f aca="false">'Qté 2027'!AM194*$C194</f>
        <v>0</v>
      </c>
      <c r="AN194" s="23" t="n">
        <f aca="false">'Qté 2027'!AN194*$C194</f>
        <v>0</v>
      </c>
      <c r="AO194" s="23" t="n">
        <f aca="false">'Qté 2027'!AO194*$C194</f>
        <v>0</v>
      </c>
      <c r="AP194" s="23" t="n">
        <f aca="false">'Qté 2027'!AP194*$C194</f>
        <v>0</v>
      </c>
      <c r="AQ194" s="23" t="n">
        <f aca="false">'Qté 2027'!AQ194*$C194</f>
        <v>0</v>
      </c>
      <c r="AR194" s="23" t="n">
        <f aca="false">'Qté 2027'!AR194*$C194</f>
        <v>0</v>
      </c>
      <c r="AS194" s="23" t="n">
        <f aca="false">'Qté 2027'!AS194*$C194</f>
        <v>0</v>
      </c>
      <c r="AT194" s="23" t="n">
        <f aca="false">'Qté 2027'!AT194*$C194</f>
        <v>0</v>
      </c>
      <c r="AU194" s="23" t="n">
        <f aca="false">'Qté 2027'!AU194*$C194</f>
        <v>0</v>
      </c>
      <c r="AV194" s="23" t="n">
        <f aca="false">'Qté 2027'!AV194*$C194</f>
        <v>0</v>
      </c>
      <c r="AW194" s="23" t="n">
        <f aca="false">'Qté 2027'!AW194*$C194</f>
        <v>0</v>
      </c>
      <c r="AX194" s="23" t="n">
        <f aca="false">'Qté 2027'!AX194*$C194</f>
        <v>0</v>
      </c>
      <c r="AY194" s="23" t="n">
        <f aca="false">'Qté 2027'!AY194*$C194</f>
        <v>0</v>
      </c>
      <c r="AZ194" s="23" t="n">
        <f aca="false">'Qté 2027'!AZ194*$C194</f>
        <v>0</v>
      </c>
      <c r="BA194" s="23" t="n">
        <f aca="false">'Qté 2027'!BA194*$C194</f>
        <v>0</v>
      </c>
      <c r="BB194" s="23" t="n">
        <f aca="false">'Qté 2027'!BB194*$C194</f>
        <v>0</v>
      </c>
      <c r="BC194" s="23" t="n">
        <f aca="false">'Qté 2027'!BC194*$C194</f>
        <v>0</v>
      </c>
      <c r="BD194" s="15" t="n">
        <f aca="false">SUM(D194:BC194)</f>
        <v>1.316</v>
      </c>
    </row>
    <row r="195" customFormat="false" ht="15" hidden="false" customHeight="false" outlineLevel="0" collapsed="false">
      <c r="A195" s="5" t="s">
        <v>371</v>
      </c>
      <c r="B195" s="5" t="s">
        <v>64</v>
      </c>
      <c r="C195" s="22" t="n">
        <v>4</v>
      </c>
      <c r="D195" s="23" t="n">
        <f aca="false">'Qté 2027'!D195*$C195</f>
        <v>0</v>
      </c>
      <c r="E195" s="23" t="n">
        <f aca="false">'Qté 2027'!E195*$C195</f>
        <v>0</v>
      </c>
      <c r="F195" s="23" t="n">
        <f aca="false">'Qté 2027'!F195*$C195</f>
        <v>0</v>
      </c>
      <c r="G195" s="23" t="n">
        <f aca="false">'Qté 2027'!G195*$C195</f>
        <v>0</v>
      </c>
      <c r="H195" s="23" t="n">
        <f aca="false">'Qté 2027'!H195*$C195</f>
        <v>0</v>
      </c>
      <c r="I195" s="23" t="n">
        <f aca="false">'Qté 2027'!I195*$C195</f>
        <v>0</v>
      </c>
      <c r="J195" s="23" t="n">
        <f aca="false">'Qté 2027'!J195*$C195</f>
        <v>0</v>
      </c>
      <c r="K195" s="23" t="n">
        <f aca="false">'Qté 2027'!K195*$C195</f>
        <v>0</v>
      </c>
      <c r="L195" s="23" t="n">
        <f aca="false">'Qté 2027'!L195*$C195</f>
        <v>0</v>
      </c>
      <c r="M195" s="23" t="n">
        <f aca="false">'Qté 2027'!M195*$C195</f>
        <v>0</v>
      </c>
      <c r="N195" s="23" t="n">
        <f aca="false">'Qté 2027'!N195*$C195</f>
        <v>0</v>
      </c>
      <c r="O195" s="23" t="n">
        <f aca="false">'Qté 2027'!O195*$C195</f>
        <v>0</v>
      </c>
      <c r="P195" s="23" t="n">
        <f aca="false">'Qté 2027'!P195*$C195</f>
        <v>0</v>
      </c>
      <c r="Q195" s="23" t="n">
        <f aca="false">'Qté 2027'!Q195*$C195</f>
        <v>0</v>
      </c>
      <c r="R195" s="23" t="n">
        <f aca="false">'Qté 2027'!R195*$C195</f>
        <v>0</v>
      </c>
      <c r="S195" s="23" t="n">
        <f aca="false">'Qté 2027'!S195*$C195</f>
        <v>0</v>
      </c>
      <c r="T195" s="23" t="n">
        <f aca="false">'Qté 2027'!T195*$C195</f>
        <v>0.32</v>
      </c>
      <c r="U195" s="23" t="n">
        <f aca="false">'Qté 2027'!U195*$C195</f>
        <v>0.64</v>
      </c>
      <c r="V195" s="23" t="n">
        <f aca="false">'Qté 2027'!V195*$C195</f>
        <v>0.32</v>
      </c>
      <c r="W195" s="23" t="n">
        <f aca="false">'Qté 2027'!W195*$C195</f>
        <v>0</v>
      </c>
      <c r="X195" s="23" t="n">
        <f aca="false">'Qté 2027'!X195*$C195</f>
        <v>0</v>
      </c>
      <c r="Y195" s="23" t="n">
        <f aca="false">'Qté 2027'!Y195*$C195</f>
        <v>0</v>
      </c>
      <c r="Z195" s="23" t="n">
        <f aca="false">'Qté 2027'!Z195*$C195</f>
        <v>0</v>
      </c>
      <c r="AA195" s="23" t="n">
        <f aca="false">'Qté 2027'!AA195*$C195</f>
        <v>0</v>
      </c>
      <c r="AB195" s="23" t="n">
        <f aca="false">'Qté 2027'!AB195*$C195</f>
        <v>0</v>
      </c>
      <c r="AC195" s="23" t="n">
        <f aca="false">'Qté 2027'!AC195*$C195</f>
        <v>0</v>
      </c>
      <c r="AD195" s="23" t="n">
        <f aca="false">'Qté 2027'!AD195*$C195</f>
        <v>0</v>
      </c>
      <c r="AE195" s="23" t="n">
        <f aca="false">'Qté 2027'!AE195*$C195</f>
        <v>0</v>
      </c>
      <c r="AF195" s="23" t="n">
        <f aca="false">'Qté 2027'!AF195*$C195</f>
        <v>0</v>
      </c>
      <c r="AG195" s="23" t="n">
        <f aca="false">'Qté 2027'!AG195*$C195</f>
        <v>0</v>
      </c>
      <c r="AH195" s="23" t="n">
        <f aca="false">'Qté 2027'!AH195*$C195</f>
        <v>0</v>
      </c>
      <c r="AI195" s="23" t="n">
        <f aca="false">'Qté 2027'!AI195*$C195</f>
        <v>0</v>
      </c>
      <c r="AJ195" s="23" t="n">
        <f aca="false">'Qté 2027'!AJ195*$C195</f>
        <v>0</v>
      </c>
      <c r="AK195" s="23" t="n">
        <f aca="false">'Qté 2027'!AK195*$C195</f>
        <v>0</v>
      </c>
      <c r="AL195" s="23" t="n">
        <f aca="false">'Qté 2027'!AL195*$C195</f>
        <v>0</v>
      </c>
      <c r="AM195" s="23" t="n">
        <f aca="false">'Qté 2027'!AM195*$C195</f>
        <v>0</v>
      </c>
      <c r="AN195" s="23" t="n">
        <f aca="false">'Qté 2027'!AN195*$C195</f>
        <v>0</v>
      </c>
      <c r="AO195" s="23" t="n">
        <f aca="false">'Qté 2027'!AO195*$C195</f>
        <v>0</v>
      </c>
      <c r="AP195" s="23" t="n">
        <f aca="false">'Qté 2027'!AP195*$C195</f>
        <v>0</v>
      </c>
      <c r="AQ195" s="23" t="n">
        <f aca="false">'Qté 2027'!AQ195*$C195</f>
        <v>0</v>
      </c>
      <c r="AR195" s="23" t="n">
        <f aca="false">'Qté 2027'!AR195*$C195</f>
        <v>0</v>
      </c>
      <c r="AS195" s="23" t="n">
        <f aca="false">'Qté 2027'!AS195*$C195</f>
        <v>0</v>
      </c>
      <c r="AT195" s="23" t="n">
        <f aca="false">'Qté 2027'!AT195*$C195</f>
        <v>0</v>
      </c>
      <c r="AU195" s="23" t="n">
        <f aca="false">'Qté 2027'!AU195*$C195</f>
        <v>0</v>
      </c>
      <c r="AV195" s="23" t="n">
        <f aca="false">'Qté 2027'!AV195*$C195</f>
        <v>0</v>
      </c>
      <c r="AW195" s="23" t="n">
        <f aca="false">'Qté 2027'!AW195*$C195</f>
        <v>0</v>
      </c>
      <c r="AX195" s="23" t="n">
        <f aca="false">'Qté 2027'!AX195*$C195</f>
        <v>0</v>
      </c>
      <c r="AY195" s="23" t="n">
        <f aca="false">'Qté 2027'!AY195*$C195</f>
        <v>0</v>
      </c>
      <c r="AZ195" s="23" t="n">
        <f aca="false">'Qté 2027'!AZ195*$C195</f>
        <v>0</v>
      </c>
      <c r="BA195" s="23" t="n">
        <f aca="false">'Qté 2027'!BA195*$C195</f>
        <v>0</v>
      </c>
      <c r="BB195" s="23" t="n">
        <f aca="false">'Qté 2027'!BB195*$C195</f>
        <v>0</v>
      </c>
      <c r="BC195" s="23" t="n">
        <f aca="false">'Qté 2027'!BC195*$C195</f>
        <v>0</v>
      </c>
      <c r="BD195" s="15" t="n">
        <f aca="false">SUM(D195:BC195)</f>
        <v>1.28</v>
      </c>
    </row>
    <row r="196" customFormat="false" ht="15" hidden="false" customHeight="false" outlineLevel="0" collapsed="false">
      <c r="A196" s="5" t="s">
        <v>372</v>
      </c>
      <c r="B196" s="5" t="s">
        <v>64</v>
      </c>
      <c r="C196" s="22" t="n">
        <v>1.76</v>
      </c>
      <c r="D196" s="23" t="n">
        <f aca="false">'Qté 2027'!D196*$C196</f>
        <v>0</v>
      </c>
      <c r="E196" s="23" t="n">
        <f aca="false">'Qté 2027'!E196*$C196</f>
        <v>0</v>
      </c>
      <c r="F196" s="23" t="n">
        <f aca="false">'Qté 2027'!F196*$C196</f>
        <v>0</v>
      </c>
      <c r="G196" s="23" t="n">
        <f aca="false">'Qté 2027'!G196*$C196</f>
        <v>0.088</v>
      </c>
      <c r="H196" s="23" t="n">
        <f aca="false">'Qté 2027'!H196*$C196</f>
        <v>0.1584</v>
      </c>
      <c r="I196" s="23" t="n">
        <f aca="false">'Qté 2027'!I196*$C196</f>
        <v>0.088</v>
      </c>
      <c r="J196" s="23" t="n">
        <f aca="false">'Qté 2027'!J196*$C196</f>
        <v>0</v>
      </c>
      <c r="K196" s="23" t="n">
        <f aca="false">'Qté 2027'!K196*$C196</f>
        <v>0</v>
      </c>
      <c r="L196" s="23" t="n">
        <f aca="false">'Qté 2027'!L196*$C196</f>
        <v>0</v>
      </c>
      <c r="M196" s="23" t="n">
        <f aca="false">'Qté 2027'!M196*$C196</f>
        <v>0</v>
      </c>
      <c r="N196" s="23" t="n">
        <f aca="false">'Qté 2027'!N196*$C196</f>
        <v>0</v>
      </c>
      <c r="O196" s="23" t="n">
        <f aca="false">'Qté 2027'!O196*$C196</f>
        <v>0</v>
      </c>
      <c r="P196" s="23" t="n">
        <f aca="false">'Qté 2027'!P196*$C196</f>
        <v>0</v>
      </c>
      <c r="Q196" s="23" t="n">
        <f aca="false">'Qté 2027'!Q196*$C196</f>
        <v>0.0528</v>
      </c>
      <c r="R196" s="23" t="n">
        <f aca="false">'Qté 2027'!R196*$C196</f>
        <v>0.1232</v>
      </c>
      <c r="S196" s="23" t="n">
        <f aca="false">'Qté 2027'!S196*$C196</f>
        <v>0.0528</v>
      </c>
      <c r="T196" s="23" t="n">
        <f aca="false">'Qté 2027'!T196*$C196</f>
        <v>0</v>
      </c>
      <c r="U196" s="23" t="n">
        <f aca="false">'Qté 2027'!U196*$C196</f>
        <v>0</v>
      </c>
      <c r="V196" s="23" t="n">
        <f aca="false">'Qté 2027'!V196*$C196</f>
        <v>0.1056</v>
      </c>
      <c r="W196" s="23" t="n">
        <f aca="false">'Qté 2027'!W196*$C196</f>
        <v>0.1936</v>
      </c>
      <c r="X196" s="23" t="n">
        <f aca="false">'Qté 2027'!X196*$C196</f>
        <v>0.1056</v>
      </c>
      <c r="Y196" s="23" t="n">
        <f aca="false">'Qté 2027'!Y196*$C196</f>
        <v>0</v>
      </c>
      <c r="Z196" s="23" t="n">
        <f aca="false">'Qté 2027'!Z196*$C196</f>
        <v>0</v>
      </c>
      <c r="AA196" s="23" t="n">
        <f aca="false">'Qté 2027'!AA196*$C196</f>
        <v>0</v>
      </c>
      <c r="AB196" s="23" t="n">
        <f aca="false">'Qté 2027'!AB196*$C196</f>
        <v>0</v>
      </c>
      <c r="AC196" s="23" t="n">
        <f aca="false">'Qté 2027'!AC196*$C196</f>
        <v>0</v>
      </c>
      <c r="AD196" s="23" t="n">
        <f aca="false">'Qté 2027'!AD196*$C196</f>
        <v>0</v>
      </c>
      <c r="AE196" s="23" t="n">
        <f aca="false">'Qté 2027'!AE196*$C196</f>
        <v>0</v>
      </c>
      <c r="AF196" s="23" t="n">
        <f aca="false">'Qté 2027'!AF196*$C196</f>
        <v>0</v>
      </c>
      <c r="AG196" s="23" t="n">
        <f aca="false">'Qté 2027'!AG196*$C196</f>
        <v>0</v>
      </c>
      <c r="AH196" s="23" t="n">
        <f aca="false">'Qté 2027'!AH196*$C196</f>
        <v>0</v>
      </c>
      <c r="AI196" s="23" t="n">
        <f aca="false">'Qté 2027'!AI196*$C196</f>
        <v>0</v>
      </c>
      <c r="AJ196" s="23" t="n">
        <f aca="false">'Qté 2027'!AJ196*$C196</f>
        <v>0</v>
      </c>
      <c r="AK196" s="23" t="n">
        <f aca="false">'Qté 2027'!AK196*$C196</f>
        <v>0</v>
      </c>
      <c r="AL196" s="23" t="n">
        <f aca="false">'Qté 2027'!AL196*$C196</f>
        <v>0</v>
      </c>
      <c r="AM196" s="23" t="n">
        <f aca="false">'Qté 2027'!AM196*$C196</f>
        <v>0</v>
      </c>
      <c r="AN196" s="23" t="n">
        <f aca="false">'Qté 2027'!AN196*$C196</f>
        <v>0</v>
      </c>
      <c r="AO196" s="23" t="n">
        <f aca="false">'Qté 2027'!AO196*$C196</f>
        <v>0</v>
      </c>
      <c r="AP196" s="23" t="n">
        <f aca="false">'Qté 2027'!AP196*$C196</f>
        <v>0</v>
      </c>
      <c r="AQ196" s="23" t="n">
        <f aca="false">'Qté 2027'!AQ196*$C196</f>
        <v>0</v>
      </c>
      <c r="AR196" s="23" t="n">
        <f aca="false">'Qté 2027'!AR196*$C196</f>
        <v>0</v>
      </c>
      <c r="AS196" s="23" t="n">
        <f aca="false">'Qté 2027'!AS196*$C196</f>
        <v>0</v>
      </c>
      <c r="AT196" s="23" t="n">
        <f aca="false">'Qté 2027'!AT196*$C196</f>
        <v>0</v>
      </c>
      <c r="AU196" s="23" t="n">
        <f aca="false">'Qté 2027'!AU196*$C196</f>
        <v>0</v>
      </c>
      <c r="AV196" s="23" t="n">
        <f aca="false">'Qté 2027'!AV196*$C196</f>
        <v>0</v>
      </c>
      <c r="AW196" s="23" t="n">
        <f aca="false">'Qté 2027'!AW196*$C196</f>
        <v>0</v>
      </c>
      <c r="AX196" s="23" t="n">
        <f aca="false">'Qté 2027'!AX196*$C196</f>
        <v>0</v>
      </c>
      <c r="AY196" s="23" t="n">
        <f aca="false">'Qté 2027'!AY196*$C196</f>
        <v>0</v>
      </c>
      <c r="AZ196" s="23" t="n">
        <f aca="false">'Qté 2027'!AZ196*$C196</f>
        <v>0</v>
      </c>
      <c r="BA196" s="23" t="n">
        <f aca="false">'Qté 2027'!BA196*$C196</f>
        <v>0</v>
      </c>
      <c r="BB196" s="23" t="n">
        <f aca="false">'Qté 2027'!BB196*$C196</f>
        <v>0</v>
      </c>
      <c r="BC196" s="23" t="n">
        <f aca="false">'Qté 2027'!BC196*$C196</f>
        <v>0</v>
      </c>
      <c r="BD196" s="15" t="n">
        <f aca="false">SUM(D196:BC196)</f>
        <v>0.968</v>
      </c>
    </row>
    <row r="197" customFormat="false" ht="15" hidden="false" customHeight="false" outlineLevel="0" collapsed="false">
      <c r="A197" s="3" t="s">
        <v>377</v>
      </c>
      <c r="D197" s="24" t="n">
        <f aca="false">SUM(D5:D196)</f>
        <v>23.2501</v>
      </c>
      <c r="E197" s="24" t="n">
        <f aca="false">SUM(E5:E196)</f>
        <v>41.861</v>
      </c>
      <c r="F197" s="24" t="n">
        <f aca="false">SUM(F5:F196)</f>
        <v>24.4945</v>
      </c>
      <c r="G197" s="24" t="n">
        <f aca="false">SUM(G5:G196)</f>
        <v>10.9034</v>
      </c>
      <c r="H197" s="24" t="n">
        <f aca="false">SUM(H5:H196)</f>
        <v>25.3132</v>
      </c>
      <c r="I197" s="24" t="n">
        <f aca="false">SUM(I5:I196)</f>
        <v>41.3444</v>
      </c>
      <c r="J197" s="24" t="n">
        <f aca="false">SUM(J5:J196)</f>
        <v>43.9336</v>
      </c>
      <c r="K197" s="24" t="n">
        <f aca="false">SUM(K5:K196)</f>
        <v>41.7096</v>
      </c>
      <c r="L197" s="24" t="n">
        <f aca="false">SUM(L5:L196)</f>
        <v>58.6876</v>
      </c>
      <c r="M197" s="24" t="n">
        <f aca="false">SUM(M5:M196)</f>
        <v>120.4472</v>
      </c>
      <c r="N197" s="24" t="n">
        <f aca="false">SUM(N5:N196)</f>
        <v>258.5269</v>
      </c>
      <c r="O197" s="24" t="n">
        <f aca="false">SUM(O5:O196)</f>
        <v>401.7977</v>
      </c>
      <c r="P197" s="24" t="n">
        <f aca="false">SUM(P5:P196)</f>
        <v>470.2277</v>
      </c>
      <c r="Q197" s="24" t="n">
        <f aca="false">SUM(Q5:Q196)</f>
        <v>760.5641</v>
      </c>
      <c r="R197" s="24" t="n">
        <f aca="false">SUM(R5:R196)</f>
        <v>1389.2975</v>
      </c>
      <c r="S197" s="24" t="n">
        <f aca="false">SUM(S5:S196)</f>
        <v>1751.3822</v>
      </c>
      <c r="T197" s="24" t="n">
        <f aca="false">SUM(T5:T196)</f>
        <v>1897.204</v>
      </c>
      <c r="U197" s="24" t="n">
        <f aca="false">SUM(U5:U196)</f>
        <v>2204.5882</v>
      </c>
      <c r="V197" s="24" t="n">
        <f aca="false">SUM(V5:V196)</f>
        <v>2571.7332</v>
      </c>
      <c r="W197" s="24" t="n">
        <f aca="false">SUM(W5:W196)</f>
        <v>3096.2259</v>
      </c>
      <c r="X197" s="24" t="n">
        <f aca="false">SUM(X5:X196)</f>
        <v>3853.8815</v>
      </c>
      <c r="Y197" s="24" t="n">
        <f aca="false">SUM(Y5:Y196)</f>
        <v>4018.8373</v>
      </c>
      <c r="Z197" s="24" t="n">
        <f aca="false">SUM(Z5:Z196)</f>
        <v>3310.4797</v>
      </c>
      <c r="AA197" s="24" t="n">
        <f aca="false">SUM(AA5:AA196)</f>
        <v>3194.7134</v>
      </c>
      <c r="AB197" s="24" t="n">
        <f aca="false">SUM(AB5:AB196)</f>
        <v>3921.5292</v>
      </c>
      <c r="AC197" s="24" t="n">
        <f aca="false">SUM(AC5:AC196)</f>
        <v>4464.6718</v>
      </c>
      <c r="AD197" s="24" t="n">
        <f aca="false">SUM(AD5:AD196)</f>
        <v>4330.6478</v>
      </c>
      <c r="AE197" s="24" t="n">
        <f aca="false">SUM(AE5:AE196)</f>
        <v>3694.114</v>
      </c>
      <c r="AF197" s="24" t="n">
        <f aca="false">SUM(AF5:AF196)</f>
        <v>2943.9954</v>
      </c>
      <c r="AG197" s="24" t="n">
        <f aca="false">SUM(AG5:AG196)</f>
        <v>2289.2546</v>
      </c>
      <c r="AH197" s="24" t="n">
        <f aca="false">SUM(AH5:AH196)</f>
        <v>2260.7916</v>
      </c>
      <c r="AI197" s="24" t="n">
        <f aca="false">SUM(AI5:AI196)</f>
        <v>2455.1576</v>
      </c>
      <c r="AJ197" s="24" t="n">
        <f aca="false">SUM(AJ5:AJ196)</f>
        <v>1781.3504</v>
      </c>
      <c r="AK197" s="24" t="n">
        <f aca="false">SUM(AK5:AK196)</f>
        <v>963.9796</v>
      </c>
      <c r="AL197" s="24" t="n">
        <f aca="false">SUM(AL5:AL196)</f>
        <v>1175.2034</v>
      </c>
      <c r="AM197" s="24" t="n">
        <f aca="false">SUM(AM5:AM196)</f>
        <v>1343.9353</v>
      </c>
      <c r="AN197" s="24" t="n">
        <f aca="false">SUM(AN5:AN196)</f>
        <v>830.1192</v>
      </c>
      <c r="AO197" s="24" t="n">
        <f aca="false">SUM(AO5:AO196)</f>
        <v>555.983</v>
      </c>
      <c r="AP197" s="24" t="n">
        <f aca="false">SUM(AP5:AP196)</f>
        <v>509.2862</v>
      </c>
      <c r="AQ197" s="24" t="n">
        <f aca="false">SUM(AQ5:AQ196)</f>
        <v>424.0971</v>
      </c>
      <c r="AR197" s="24" t="n">
        <f aca="false">SUM(AR5:AR196)</f>
        <v>436.1564</v>
      </c>
      <c r="AS197" s="24" t="n">
        <f aca="false">SUM(AS5:AS196)</f>
        <v>397.3259</v>
      </c>
      <c r="AT197" s="24" t="n">
        <f aca="false">SUM(AT5:AT196)</f>
        <v>316.8461</v>
      </c>
      <c r="AU197" s="24" t="n">
        <f aca="false">SUM(AU5:AU196)</f>
        <v>270.7185</v>
      </c>
      <c r="AV197" s="24" t="n">
        <f aca="false">SUM(AV5:AV196)</f>
        <v>232.9911</v>
      </c>
      <c r="AW197" s="24" t="n">
        <f aca="false">SUM(AW5:AW196)</f>
        <v>173.15</v>
      </c>
      <c r="AX197" s="24" t="n">
        <f aca="false">SUM(AX5:AX196)</f>
        <v>124.4726</v>
      </c>
      <c r="AY197" s="24" t="n">
        <f aca="false">SUM(AY5:AY196)</f>
        <v>115.6676</v>
      </c>
      <c r="AZ197" s="24" t="n">
        <f aca="false">SUM(AZ5:AZ196)</f>
        <v>84.5225</v>
      </c>
      <c r="BA197" s="24" t="n">
        <f aca="false">SUM(BA5:BA196)</f>
        <v>55.9204</v>
      </c>
      <c r="BB197" s="24" t="n">
        <f aca="false">SUM(BB5:BB196)</f>
        <v>48.8736</v>
      </c>
      <c r="BC197" s="24" t="n">
        <f aca="false">SUM(BC5:BC196)</f>
        <v>20.9424</v>
      </c>
      <c r="BD197" s="15" t="n">
        <f aca="false">SUM(D197:BC197)</f>
        <v>65833.1072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7" min="3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6" t="s">
        <v>378</v>
      </c>
    </row>
    <row r="3" customFormat="false" ht="15" hidden="false" customHeight="false" outlineLevel="0" collapsed="false">
      <c r="A3" s="17" t="s">
        <v>379</v>
      </c>
      <c r="B3" s="17" t="s">
        <v>380</v>
      </c>
      <c r="C3" s="17" t="s">
        <v>381</v>
      </c>
      <c r="D3" s="17" t="s">
        <v>382</v>
      </c>
      <c r="E3" s="17" t="s">
        <v>383</v>
      </c>
      <c r="F3" s="17" t="s">
        <v>384</v>
      </c>
      <c r="G3" s="17" t="s">
        <v>385</v>
      </c>
      <c r="H3" s="17" t="s">
        <v>386</v>
      </c>
    </row>
    <row r="4" customFormat="false" ht="15" hidden="false" customHeight="false" outlineLevel="0" collapsed="false">
      <c r="A4" s="5" t="s">
        <v>72</v>
      </c>
      <c r="B4" s="25" t="n">
        <v>46391</v>
      </c>
      <c r="C4" s="23" t="n">
        <v>0</v>
      </c>
      <c r="D4" s="23" t="n">
        <v>18</v>
      </c>
      <c r="E4" s="23" t="n">
        <v>0</v>
      </c>
      <c r="F4" s="23" t="n">
        <v>0</v>
      </c>
      <c r="G4" s="23" t="n">
        <v>0</v>
      </c>
      <c r="H4" s="26" t="n">
        <f aca="false">'CA 2027'!D197</f>
        <v>23.2501</v>
      </c>
    </row>
    <row r="5" customFormat="false" ht="15" hidden="false" customHeight="false" outlineLevel="0" collapsed="false">
      <c r="A5" s="5" t="s">
        <v>73</v>
      </c>
      <c r="B5" s="25" t="n">
        <v>46398</v>
      </c>
      <c r="C5" s="23" t="n">
        <v>86</v>
      </c>
      <c r="D5" s="23" t="n">
        <v>130</v>
      </c>
      <c r="E5" s="23" t="n">
        <v>70</v>
      </c>
      <c r="F5" s="23" t="n">
        <v>133</v>
      </c>
      <c r="G5" s="23" t="n">
        <v>0</v>
      </c>
      <c r="H5" s="26" t="n">
        <f aca="false">'CA 2027'!E197</f>
        <v>41.861</v>
      </c>
    </row>
    <row r="6" customFormat="false" ht="15" hidden="false" customHeight="false" outlineLevel="0" collapsed="false">
      <c r="A6" s="5" t="s">
        <v>74</v>
      </c>
      <c r="B6" s="25" t="n">
        <v>46405</v>
      </c>
      <c r="C6" s="23" t="n">
        <v>78</v>
      </c>
      <c r="D6" s="23" t="n">
        <v>0</v>
      </c>
      <c r="E6" s="23" t="n">
        <v>0</v>
      </c>
      <c r="F6" s="23" t="n">
        <v>0</v>
      </c>
      <c r="G6" s="23" t="n">
        <v>0</v>
      </c>
      <c r="H6" s="26" t="n">
        <f aca="false">'CA 2027'!F197</f>
        <v>24.4945</v>
      </c>
    </row>
    <row r="7" customFormat="false" ht="15" hidden="false" customHeight="false" outlineLevel="0" collapsed="false">
      <c r="A7" s="5" t="s">
        <v>75</v>
      </c>
      <c r="B7" s="25" t="n">
        <v>46412</v>
      </c>
      <c r="C7" s="23" t="n">
        <v>0</v>
      </c>
      <c r="D7" s="23" t="n">
        <v>0</v>
      </c>
      <c r="E7" s="23" t="n">
        <v>54</v>
      </c>
      <c r="F7" s="23" t="n">
        <v>0</v>
      </c>
      <c r="G7" s="23" t="n">
        <v>0</v>
      </c>
      <c r="H7" s="26" t="n">
        <f aca="false">'CA 2027'!G197</f>
        <v>10.9034</v>
      </c>
    </row>
    <row r="8" customFormat="false" ht="15" hidden="false" customHeight="false" outlineLevel="0" collapsed="false">
      <c r="A8" s="5" t="s">
        <v>76</v>
      </c>
      <c r="B8" s="25" t="n">
        <v>46419</v>
      </c>
      <c r="C8" s="23" t="n">
        <v>71</v>
      </c>
      <c r="D8" s="23" t="n">
        <v>0</v>
      </c>
      <c r="E8" s="23" t="n">
        <v>18</v>
      </c>
      <c r="F8" s="23" t="n">
        <v>37</v>
      </c>
      <c r="G8" s="23" t="n">
        <v>0</v>
      </c>
      <c r="H8" s="26" t="n">
        <f aca="false">'CA 2027'!H197</f>
        <v>25.3132</v>
      </c>
    </row>
    <row r="9" customFormat="false" ht="15" hidden="false" customHeight="false" outlineLevel="0" collapsed="false">
      <c r="A9" s="5" t="s">
        <v>77</v>
      </c>
      <c r="B9" s="25" t="n">
        <v>46426</v>
      </c>
      <c r="C9" s="23" t="n">
        <v>5</v>
      </c>
      <c r="D9" s="23" t="n">
        <v>0</v>
      </c>
      <c r="E9" s="23" t="n">
        <v>0</v>
      </c>
      <c r="F9" s="23" t="n">
        <v>0</v>
      </c>
      <c r="G9" s="23" t="n">
        <v>137</v>
      </c>
      <c r="H9" s="26" t="n">
        <f aca="false">'CA 2027'!I197</f>
        <v>41.3444</v>
      </c>
    </row>
    <row r="10" customFormat="false" ht="15" hidden="false" customHeight="false" outlineLevel="0" collapsed="false">
      <c r="A10" s="5" t="s">
        <v>78</v>
      </c>
      <c r="B10" s="25" t="n">
        <v>46433</v>
      </c>
      <c r="C10" s="23" t="n">
        <v>26</v>
      </c>
      <c r="D10" s="23" t="n">
        <v>0</v>
      </c>
      <c r="E10" s="23" t="n">
        <v>46</v>
      </c>
      <c r="F10" s="23" t="n">
        <v>72</v>
      </c>
      <c r="G10" s="23" t="n">
        <v>23</v>
      </c>
      <c r="H10" s="26" t="n">
        <f aca="false">'CA 2027'!J197</f>
        <v>43.9336</v>
      </c>
    </row>
    <row r="11" customFormat="false" ht="15" hidden="false" customHeight="false" outlineLevel="0" collapsed="false">
      <c r="A11" s="5" t="s">
        <v>79</v>
      </c>
      <c r="B11" s="25" t="n">
        <v>46440</v>
      </c>
      <c r="C11" s="23" t="n">
        <v>34</v>
      </c>
      <c r="D11" s="23" t="n">
        <v>52</v>
      </c>
      <c r="E11" s="23" t="n">
        <v>0</v>
      </c>
      <c r="F11" s="23" t="n">
        <v>88</v>
      </c>
      <c r="G11" s="23" t="n">
        <v>19</v>
      </c>
      <c r="H11" s="26" t="n">
        <f aca="false">'CA 2027'!K197</f>
        <v>41.7096</v>
      </c>
    </row>
    <row r="12" customFormat="false" ht="15" hidden="false" customHeight="false" outlineLevel="0" collapsed="false">
      <c r="A12" s="5" t="s">
        <v>80</v>
      </c>
      <c r="B12" s="25" t="n">
        <v>46447</v>
      </c>
      <c r="C12" s="23" t="n">
        <v>162</v>
      </c>
      <c r="D12" s="23" t="n">
        <v>83</v>
      </c>
      <c r="E12" s="23" t="n">
        <v>19</v>
      </c>
      <c r="F12" s="23" t="n">
        <v>62</v>
      </c>
      <c r="G12" s="23" t="n">
        <v>19</v>
      </c>
      <c r="H12" s="26" t="n">
        <f aca="false">'CA 2027'!L197</f>
        <v>58.6876</v>
      </c>
    </row>
    <row r="13" customFormat="false" ht="15" hidden="false" customHeight="false" outlineLevel="0" collapsed="false">
      <c r="A13" s="5" t="s">
        <v>81</v>
      </c>
      <c r="B13" s="25" t="n">
        <v>46454</v>
      </c>
      <c r="C13" s="23" t="n">
        <v>213</v>
      </c>
      <c r="D13" s="23" t="n">
        <v>0</v>
      </c>
      <c r="E13" s="23" t="n">
        <v>126</v>
      </c>
      <c r="F13" s="23" t="n">
        <v>106</v>
      </c>
      <c r="G13" s="23" t="n">
        <v>53</v>
      </c>
      <c r="H13" s="26" t="n">
        <f aca="false">'CA 2027'!M197</f>
        <v>120.4472</v>
      </c>
    </row>
    <row r="14" customFormat="false" ht="15" hidden="false" customHeight="false" outlineLevel="0" collapsed="false">
      <c r="A14" s="5" t="s">
        <v>82</v>
      </c>
      <c r="B14" s="25" t="n">
        <v>46461</v>
      </c>
      <c r="C14" s="23" t="n">
        <v>0</v>
      </c>
      <c r="D14" s="23" t="n">
        <v>116</v>
      </c>
      <c r="E14" s="23" t="n">
        <v>52</v>
      </c>
      <c r="F14" s="23" t="n">
        <v>70</v>
      </c>
      <c r="G14" s="23" t="n">
        <v>450</v>
      </c>
      <c r="H14" s="26" t="n">
        <f aca="false">'CA 2027'!N197</f>
        <v>258.5269</v>
      </c>
    </row>
    <row r="15" customFormat="false" ht="15" hidden="false" customHeight="false" outlineLevel="0" collapsed="false">
      <c r="A15" s="5" t="s">
        <v>83</v>
      </c>
      <c r="B15" s="25" t="n">
        <v>46468</v>
      </c>
      <c r="C15" s="23" t="n">
        <v>222</v>
      </c>
      <c r="D15" s="23" t="n">
        <v>828</v>
      </c>
      <c r="E15" s="23" t="n">
        <v>557</v>
      </c>
      <c r="F15" s="23" t="n">
        <v>300</v>
      </c>
      <c r="G15" s="23" t="n">
        <v>320</v>
      </c>
      <c r="H15" s="26" t="n">
        <f aca="false">'CA 2027'!O197</f>
        <v>401.7977</v>
      </c>
    </row>
    <row r="16" customFormat="false" ht="15" hidden="false" customHeight="false" outlineLevel="0" collapsed="false">
      <c r="A16" s="5" t="s">
        <v>84</v>
      </c>
      <c r="B16" s="25" t="n">
        <v>46475</v>
      </c>
      <c r="C16" s="23" t="n">
        <v>428</v>
      </c>
      <c r="D16" s="23" t="n">
        <v>375</v>
      </c>
      <c r="E16" s="23" t="n">
        <v>316</v>
      </c>
      <c r="F16" s="23" t="n">
        <v>529</v>
      </c>
      <c r="G16" s="23" t="n">
        <v>383</v>
      </c>
      <c r="H16" s="26" t="n">
        <f aca="false">'CA 2027'!P197</f>
        <v>470.2277</v>
      </c>
    </row>
    <row r="17" customFormat="false" ht="15" hidden="false" customHeight="false" outlineLevel="0" collapsed="false">
      <c r="A17" s="5" t="s">
        <v>85</v>
      </c>
      <c r="B17" s="25" t="n">
        <v>46482</v>
      </c>
      <c r="C17" s="23" t="n">
        <v>229</v>
      </c>
      <c r="D17" s="23" t="n">
        <v>513</v>
      </c>
      <c r="E17" s="23" t="n">
        <v>820</v>
      </c>
      <c r="F17" s="23" t="n">
        <v>446</v>
      </c>
      <c r="G17" s="23" t="n">
        <v>269</v>
      </c>
      <c r="H17" s="26" t="n">
        <f aca="false">'CA 2027'!Q197</f>
        <v>760.5641</v>
      </c>
    </row>
    <row r="18" customFormat="false" ht="15" hidden="false" customHeight="false" outlineLevel="0" collapsed="false">
      <c r="A18" s="5" t="s">
        <v>86</v>
      </c>
      <c r="B18" s="25" t="n">
        <v>46489</v>
      </c>
      <c r="C18" s="23" t="n">
        <v>1010</v>
      </c>
      <c r="D18" s="23" t="n">
        <v>413</v>
      </c>
      <c r="E18" s="23" t="n">
        <v>1596</v>
      </c>
      <c r="F18" s="23" t="n">
        <v>1778</v>
      </c>
      <c r="G18" s="23" t="n">
        <v>1145</v>
      </c>
      <c r="H18" s="26" t="n">
        <f aca="false">'CA 2027'!R197</f>
        <v>1389.2975</v>
      </c>
    </row>
    <row r="19" customFormat="false" ht="15" hidden="false" customHeight="false" outlineLevel="0" collapsed="false">
      <c r="A19" s="5" t="s">
        <v>87</v>
      </c>
      <c r="B19" s="25" t="n">
        <v>46496</v>
      </c>
      <c r="C19" s="23" t="n">
        <v>1830</v>
      </c>
      <c r="D19" s="23" t="n">
        <v>1035</v>
      </c>
      <c r="E19" s="23" t="n">
        <v>1146</v>
      </c>
      <c r="F19" s="23" t="n">
        <v>1577</v>
      </c>
      <c r="G19" s="23" t="n">
        <v>2324</v>
      </c>
      <c r="H19" s="26" t="n">
        <f aca="false">'CA 2027'!S197</f>
        <v>1751.3822</v>
      </c>
    </row>
    <row r="20" customFormat="false" ht="15" hidden="false" customHeight="false" outlineLevel="0" collapsed="false">
      <c r="A20" s="5" t="s">
        <v>88</v>
      </c>
      <c r="B20" s="25" t="n">
        <v>46503</v>
      </c>
      <c r="C20" s="23" t="n">
        <v>1523</v>
      </c>
      <c r="D20" s="23" t="n">
        <v>1005</v>
      </c>
      <c r="E20" s="23" t="n">
        <v>1028</v>
      </c>
      <c r="F20" s="23" t="n">
        <v>1210</v>
      </c>
      <c r="G20" s="23" t="n">
        <v>1895</v>
      </c>
      <c r="H20" s="26" t="n">
        <f aca="false">'CA 2027'!T197</f>
        <v>1897.204</v>
      </c>
    </row>
    <row r="21" customFormat="false" ht="15" hidden="false" customHeight="false" outlineLevel="0" collapsed="false">
      <c r="A21" s="5" t="s">
        <v>89</v>
      </c>
      <c r="B21" s="25" t="n">
        <v>46510</v>
      </c>
      <c r="C21" s="23" t="n">
        <v>3340</v>
      </c>
      <c r="D21" s="23" t="n">
        <v>1467</v>
      </c>
      <c r="E21" s="23" t="n">
        <v>705</v>
      </c>
      <c r="F21" s="23" t="n">
        <v>4390</v>
      </c>
      <c r="G21" s="23" t="n">
        <v>1732</v>
      </c>
      <c r="H21" s="26" t="n">
        <f aca="false">'CA 2027'!U197</f>
        <v>2204.5882</v>
      </c>
    </row>
    <row r="22" customFormat="false" ht="15" hidden="false" customHeight="false" outlineLevel="0" collapsed="false">
      <c r="A22" s="5" t="s">
        <v>90</v>
      </c>
      <c r="B22" s="25" t="n">
        <v>46517</v>
      </c>
      <c r="C22" s="23" t="n">
        <v>3683</v>
      </c>
      <c r="D22" s="23" t="n">
        <v>1598</v>
      </c>
      <c r="E22" s="23" t="n">
        <v>2136</v>
      </c>
      <c r="F22" s="23" t="n">
        <v>2265</v>
      </c>
      <c r="G22" s="23" t="n">
        <v>1136</v>
      </c>
      <c r="H22" s="26" t="n">
        <f aca="false">'CA 2027'!V197</f>
        <v>2571.7332</v>
      </c>
    </row>
    <row r="23" customFormat="false" ht="15" hidden="false" customHeight="false" outlineLevel="0" collapsed="false">
      <c r="A23" s="5" t="s">
        <v>91</v>
      </c>
      <c r="B23" s="25" t="n">
        <v>46524</v>
      </c>
      <c r="C23" s="23" t="n">
        <v>3305</v>
      </c>
      <c r="D23" s="23" t="n">
        <v>1713</v>
      </c>
      <c r="E23" s="23" t="n">
        <v>2937</v>
      </c>
      <c r="F23" s="23" t="n">
        <v>4718</v>
      </c>
      <c r="G23" s="23" t="n">
        <v>1410</v>
      </c>
      <c r="H23" s="26" t="n">
        <f aca="false">'CA 2027'!W197</f>
        <v>3096.2259</v>
      </c>
    </row>
    <row r="24" customFormat="false" ht="15" hidden="false" customHeight="false" outlineLevel="0" collapsed="false">
      <c r="A24" s="5" t="s">
        <v>92</v>
      </c>
      <c r="B24" s="25" t="n">
        <v>46531</v>
      </c>
      <c r="C24" s="23" t="n">
        <v>1270</v>
      </c>
      <c r="D24" s="23" t="n">
        <v>3129</v>
      </c>
      <c r="E24" s="23" t="n">
        <v>1468</v>
      </c>
      <c r="F24" s="23" t="n">
        <v>3058</v>
      </c>
      <c r="G24" s="23" t="n">
        <v>5304</v>
      </c>
      <c r="H24" s="26" t="n">
        <f aca="false">'CA 2027'!X197</f>
        <v>3853.8815</v>
      </c>
    </row>
    <row r="25" customFormat="false" ht="15" hidden="false" customHeight="false" outlineLevel="0" collapsed="false">
      <c r="A25" s="5" t="s">
        <v>93</v>
      </c>
      <c r="B25" s="25" t="n">
        <v>46538</v>
      </c>
      <c r="C25" s="23" t="n">
        <v>1660</v>
      </c>
      <c r="D25" s="23" t="n">
        <v>3793</v>
      </c>
      <c r="E25" s="23" t="n">
        <v>1205</v>
      </c>
      <c r="F25" s="23" t="n">
        <v>6284</v>
      </c>
      <c r="G25" s="23" t="n">
        <v>5166</v>
      </c>
      <c r="H25" s="26" t="n">
        <f aca="false">'CA 2027'!Y197</f>
        <v>4018.8373</v>
      </c>
    </row>
    <row r="26" customFormat="false" ht="15" hidden="false" customHeight="false" outlineLevel="0" collapsed="false">
      <c r="A26" s="5" t="s">
        <v>94</v>
      </c>
      <c r="B26" s="25" t="n">
        <v>46545</v>
      </c>
      <c r="C26" s="23" t="n">
        <v>1626</v>
      </c>
      <c r="D26" s="23" t="n">
        <v>2025</v>
      </c>
      <c r="E26" s="23" t="n">
        <v>2230</v>
      </c>
      <c r="F26" s="23" t="n">
        <v>3065</v>
      </c>
      <c r="G26" s="23" t="n">
        <v>2195</v>
      </c>
      <c r="H26" s="26" t="n">
        <f aca="false">'CA 2027'!Z197</f>
        <v>3310.4797</v>
      </c>
    </row>
    <row r="27" customFormat="false" ht="15" hidden="false" customHeight="false" outlineLevel="0" collapsed="false">
      <c r="A27" s="5" t="s">
        <v>95</v>
      </c>
      <c r="B27" s="25" t="n">
        <v>46552</v>
      </c>
      <c r="C27" s="23" t="n">
        <v>1739</v>
      </c>
      <c r="D27" s="23" t="n">
        <v>2408</v>
      </c>
      <c r="E27" s="23" t="n">
        <v>1341</v>
      </c>
      <c r="F27" s="23" t="n">
        <v>4329</v>
      </c>
      <c r="G27" s="23" t="n">
        <v>2385</v>
      </c>
      <c r="H27" s="26" t="n">
        <f aca="false">'CA 2027'!AA197</f>
        <v>3194.7134</v>
      </c>
    </row>
    <row r="28" customFormat="false" ht="15" hidden="false" customHeight="false" outlineLevel="0" collapsed="false">
      <c r="A28" s="5" t="s">
        <v>96</v>
      </c>
      <c r="B28" s="25" t="n">
        <v>46559</v>
      </c>
      <c r="C28" s="23" t="n">
        <v>1475</v>
      </c>
      <c r="D28" s="23" t="n">
        <v>1115</v>
      </c>
      <c r="E28" s="23" t="n">
        <v>1034</v>
      </c>
      <c r="F28" s="23" t="n">
        <v>7524</v>
      </c>
      <c r="G28" s="23" t="n">
        <v>2805</v>
      </c>
      <c r="H28" s="26" t="n">
        <f aca="false">'CA 2027'!AB197</f>
        <v>3921.5292</v>
      </c>
    </row>
    <row r="29" customFormat="false" ht="15" hidden="false" customHeight="false" outlineLevel="0" collapsed="false">
      <c r="A29" s="5" t="s">
        <v>97</v>
      </c>
      <c r="B29" s="25" t="n">
        <v>46566</v>
      </c>
      <c r="C29" s="23" t="n">
        <v>1409</v>
      </c>
      <c r="D29" s="23" t="n">
        <v>1549</v>
      </c>
      <c r="E29" s="23" t="n">
        <v>4222</v>
      </c>
      <c r="F29" s="23" t="n">
        <v>5432</v>
      </c>
      <c r="G29" s="23" t="n">
        <v>3875</v>
      </c>
      <c r="H29" s="26" t="n">
        <f aca="false">'CA 2027'!AC197</f>
        <v>4464.6718</v>
      </c>
    </row>
    <row r="30" customFormat="false" ht="15" hidden="false" customHeight="false" outlineLevel="0" collapsed="false">
      <c r="A30" s="5" t="s">
        <v>98</v>
      </c>
      <c r="B30" s="25" t="n">
        <v>46573</v>
      </c>
      <c r="C30" s="23" t="n">
        <v>1936</v>
      </c>
      <c r="D30" s="23" t="n">
        <v>1961</v>
      </c>
      <c r="E30" s="23" t="n">
        <v>1771</v>
      </c>
      <c r="F30" s="23" t="n">
        <v>6818</v>
      </c>
      <c r="G30" s="23" t="n">
        <v>4143</v>
      </c>
      <c r="H30" s="26" t="n">
        <f aca="false">'CA 2027'!AD197</f>
        <v>4330.6478</v>
      </c>
    </row>
    <row r="31" customFormat="false" ht="15" hidden="false" customHeight="false" outlineLevel="0" collapsed="false">
      <c r="A31" s="5" t="s">
        <v>99</v>
      </c>
      <c r="B31" s="25" t="n">
        <v>46580</v>
      </c>
      <c r="C31" s="23" t="n">
        <v>1403</v>
      </c>
      <c r="D31" s="23" t="n">
        <v>1266</v>
      </c>
      <c r="E31" s="23" t="n">
        <v>3602</v>
      </c>
      <c r="F31" s="23" t="n">
        <v>4087</v>
      </c>
      <c r="G31" s="23" t="n">
        <v>3410</v>
      </c>
      <c r="H31" s="26" t="n">
        <f aca="false">'CA 2027'!AE197</f>
        <v>3694.114</v>
      </c>
    </row>
    <row r="32" customFormat="false" ht="15" hidden="false" customHeight="false" outlineLevel="0" collapsed="false">
      <c r="A32" s="5" t="s">
        <v>100</v>
      </c>
      <c r="B32" s="25" t="n">
        <v>46587</v>
      </c>
      <c r="C32" s="23" t="n">
        <v>1118</v>
      </c>
      <c r="D32" s="23" t="n">
        <v>2057</v>
      </c>
      <c r="E32" s="23" t="n">
        <v>3447</v>
      </c>
      <c r="F32" s="23" t="n">
        <v>3023</v>
      </c>
      <c r="H32" s="26" t="n">
        <f aca="false">'CA 2027'!AF197</f>
        <v>2943.9954</v>
      </c>
    </row>
    <row r="33" customFormat="false" ht="15" hidden="false" customHeight="false" outlineLevel="0" collapsed="false">
      <c r="A33" s="5" t="s">
        <v>101</v>
      </c>
      <c r="B33" s="25" t="n">
        <v>46594</v>
      </c>
      <c r="C33" s="23" t="n">
        <v>1081</v>
      </c>
      <c r="D33" s="23" t="n">
        <v>902</v>
      </c>
      <c r="E33" s="23" t="n">
        <v>2319</v>
      </c>
      <c r="F33" s="23" t="n">
        <v>1737</v>
      </c>
      <c r="H33" s="26" t="n">
        <f aca="false">'CA 2027'!AG197</f>
        <v>2289.2546</v>
      </c>
    </row>
    <row r="34" customFormat="false" ht="15" hidden="false" customHeight="false" outlineLevel="0" collapsed="false">
      <c r="A34" s="5" t="s">
        <v>102</v>
      </c>
      <c r="B34" s="25" t="n">
        <v>46601</v>
      </c>
      <c r="C34" s="23" t="n">
        <v>2069</v>
      </c>
      <c r="D34" s="23" t="n">
        <v>845</v>
      </c>
      <c r="E34" s="23" t="n">
        <v>2806</v>
      </c>
      <c r="F34" s="23" t="n">
        <v>1658</v>
      </c>
      <c r="H34" s="26" t="n">
        <f aca="false">'CA 2027'!AH197</f>
        <v>2260.7916</v>
      </c>
    </row>
    <row r="35" customFormat="false" ht="15" hidden="false" customHeight="false" outlineLevel="0" collapsed="false">
      <c r="A35" s="5" t="s">
        <v>103</v>
      </c>
      <c r="B35" s="25" t="n">
        <v>46608</v>
      </c>
      <c r="C35" s="23" t="n">
        <v>1351</v>
      </c>
      <c r="D35" s="23" t="n">
        <v>1690</v>
      </c>
      <c r="E35" s="23" t="n">
        <v>2182</v>
      </c>
      <c r="F35" s="23" t="n">
        <v>3298</v>
      </c>
      <c r="H35" s="26" t="n">
        <f aca="false">'CA 2027'!AI197</f>
        <v>2455.1576</v>
      </c>
    </row>
    <row r="36" customFormat="false" ht="15" hidden="false" customHeight="false" outlineLevel="0" collapsed="false">
      <c r="A36" s="5" t="s">
        <v>104</v>
      </c>
      <c r="B36" s="25" t="n">
        <v>46615</v>
      </c>
      <c r="C36" s="23" t="n">
        <v>0</v>
      </c>
      <c r="D36" s="23" t="n">
        <v>224</v>
      </c>
      <c r="E36" s="23" t="n">
        <v>2072</v>
      </c>
      <c r="F36" s="23" t="n">
        <v>2491</v>
      </c>
      <c r="H36" s="26" t="n">
        <f aca="false">'CA 2027'!AJ197</f>
        <v>1781.3504</v>
      </c>
    </row>
    <row r="37" customFormat="false" ht="15" hidden="false" customHeight="false" outlineLevel="0" collapsed="false">
      <c r="A37" s="5" t="s">
        <v>105</v>
      </c>
      <c r="B37" s="25" t="n">
        <v>46622</v>
      </c>
      <c r="C37" s="23" t="n">
        <v>0</v>
      </c>
      <c r="D37" s="23" t="n">
        <v>281</v>
      </c>
      <c r="E37" s="23" t="n">
        <v>81</v>
      </c>
      <c r="F37" s="23" t="n">
        <v>383</v>
      </c>
      <c r="H37" s="26" t="n">
        <f aca="false">'CA 2027'!AK197</f>
        <v>963.9796</v>
      </c>
    </row>
    <row r="38" customFormat="false" ht="15" hidden="false" customHeight="false" outlineLevel="0" collapsed="false">
      <c r="A38" s="5" t="s">
        <v>106</v>
      </c>
      <c r="B38" s="25" t="n">
        <v>46629</v>
      </c>
      <c r="C38" s="23" t="n">
        <v>1297</v>
      </c>
      <c r="D38" s="23" t="n">
        <v>1271</v>
      </c>
      <c r="E38" s="23" t="n">
        <v>2576</v>
      </c>
      <c r="F38" s="23" t="n">
        <v>45</v>
      </c>
      <c r="H38" s="26" t="n">
        <f aca="false">'CA 2027'!AL197</f>
        <v>1175.2034</v>
      </c>
    </row>
    <row r="39" customFormat="false" ht="15" hidden="false" customHeight="false" outlineLevel="0" collapsed="false">
      <c r="A39" s="5" t="s">
        <v>107</v>
      </c>
      <c r="B39" s="25" t="n">
        <v>46636</v>
      </c>
      <c r="C39" s="23" t="n">
        <v>697</v>
      </c>
      <c r="D39" s="23" t="n">
        <v>1774</v>
      </c>
      <c r="E39" s="23" t="n">
        <v>1793</v>
      </c>
      <c r="F39" s="23" t="n">
        <v>1503</v>
      </c>
      <c r="H39" s="26" t="n">
        <f aca="false">'CA 2027'!AM197</f>
        <v>1343.9353</v>
      </c>
    </row>
    <row r="40" customFormat="false" ht="15" hidden="false" customHeight="false" outlineLevel="0" collapsed="false">
      <c r="A40" s="5" t="s">
        <v>108</v>
      </c>
      <c r="B40" s="25" t="n">
        <v>46643</v>
      </c>
      <c r="C40" s="23" t="n">
        <v>0</v>
      </c>
      <c r="D40" s="23" t="n">
        <v>576</v>
      </c>
      <c r="E40" s="23" t="n">
        <v>433</v>
      </c>
      <c r="F40" s="23" t="n">
        <v>343</v>
      </c>
      <c r="H40" s="26" t="n">
        <f aca="false">'CA 2027'!AN197</f>
        <v>830.1192</v>
      </c>
    </row>
    <row r="41" customFormat="false" ht="15" hidden="false" customHeight="false" outlineLevel="0" collapsed="false">
      <c r="A41" s="5" t="s">
        <v>109</v>
      </c>
      <c r="B41" s="25" t="n">
        <v>46650</v>
      </c>
      <c r="C41" s="23" t="n">
        <v>477</v>
      </c>
      <c r="D41" s="23" t="n">
        <v>633</v>
      </c>
      <c r="E41" s="23" t="n">
        <v>289</v>
      </c>
      <c r="F41" s="23" t="n">
        <v>670</v>
      </c>
      <c r="H41" s="26" t="n">
        <f aca="false">'CA 2027'!AO197</f>
        <v>555.983</v>
      </c>
    </row>
    <row r="42" customFormat="false" ht="15" hidden="false" customHeight="false" outlineLevel="0" collapsed="false">
      <c r="A42" s="5" t="s">
        <v>110</v>
      </c>
      <c r="B42" s="25" t="n">
        <v>46657</v>
      </c>
      <c r="C42" s="23" t="n">
        <v>353</v>
      </c>
      <c r="D42" s="23" t="n">
        <v>547</v>
      </c>
      <c r="E42" s="23" t="n">
        <v>359</v>
      </c>
      <c r="F42" s="23" t="n">
        <v>643</v>
      </c>
      <c r="H42" s="26" t="n">
        <f aca="false">'CA 2027'!AP197</f>
        <v>509.2862</v>
      </c>
    </row>
    <row r="43" customFormat="false" ht="15" hidden="false" customHeight="false" outlineLevel="0" collapsed="false">
      <c r="A43" s="5" t="s">
        <v>111</v>
      </c>
      <c r="B43" s="25" t="n">
        <v>46664</v>
      </c>
      <c r="C43" s="23" t="n">
        <v>291</v>
      </c>
      <c r="D43" s="23" t="n">
        <v>429</v>
      </c>
      <c r="E43" s="23" t="n">
        <v>322</v>
      </c>
      <c r="F43" s="23" t="n">
        <v>185</v>
      </c>
      <c r="H43" s="26" t="n">
        <f aca="false">'CA 2027'!AQ197</f>
        <v>424.0971</v>
      </c>
    </row>
    <row r="44" customFormat="false" ht="15" hidden="false" customHeight="false" outlineLevel="0" collapsed="false">
      <c r="A44" s="5" t="s">
        <v>112</v>
      </c>
      <c r="B44" s="25" t="n">
        <v>46671</v>
      </c>
      <c r="C44" s="23" t="n">
        <v>121</v>
      </c>
      <c r="D44" s="23" t="n">
        <v>455</v>
      </c>
      <c r="E44" s="23" t="n">
        <v>637</v>
      </c>
      <c r="F44" s="23" t="n">
        <v>450</v>
      </c>
      <c r="H44" s="26" t="n">
        <f aca="false">'CA 2027'!AR197</f>
        <v>436.1564</v>
      </c>
    </row>
    <row r="45" customFormat="false" ht="15" hidden="false" customHeight="false" outlineLevel="0" collapsed="false">
      <c r="A45" s="5" t="s">
        <v>113</v>
      </c>
      <c r="B45" s="25" t="n">
        <v>46678</v>
      </c>
      <c r="C45" s="23" t="n">
        <v>363</v>
      </c>
      <c r="D45" s="23" t="n">
        <v>280</v>
      </c>
      <c r="E45" s="23" t="n">
        <v>716</v>
      </c>
      <c r="F45" s="23" t="n">
        <v>68</v>
      </c>
      <c r="H45" s="26" t="n">
        <f aca="false">'CA 2027'!AS197</f>
        <v>397.3259</v>
      </c>
    </row>
    <row r="46" customFormat="false" ht="15" hidden="false" customHeight="false" outlineLevel="0" collapsed="false">
      <c r="A46" s="5" t="s">
        <v>114</v>
      </c>
      <c r="B46" s="25" t="n">
        <v>46685</v>
      </c>
      <c r="C46" s="23" t="n">
        <v>249</v>
      </c>
      <c r="D46" s="23" t="n">
        <v>353</v>
      </c>
      <c r="E46" s="23" t="n">
        <v>498</v>
      </c>
      <c r="F46" s="23" t="n">
        <v>101</v>
      </c>
      <c r="H46" s="26" t="n">
        <f aca="false">'CA 2027'!AT197</f>
        <v>316.8461</v>
      </c>
    </row>
    <row r="47" customFormat="false" ht="15" hidden="false" customHeight="false" outlineLevel="0" collapsed="false">
      <c r="A47" s="5" t="s">
        <v>115</v>
      </c>
      <c r="B47" s="25" t="n">
        <v>46692</v>
      </c>
      <c r="C47" s="23" t="n">
        <v>149</v>
      </c>
      <c r="D47" s="23" t="n">
        <v>179</v>
      </c>
      <c r="E47" s="23" t="n">
        <v>445</v>
      </c>
      <c r="F47" s="23" t="n">
        <v>78</v>
      </c>
      <c r="H47" s="26" t="n">
        <f aca="false">'CA 2027'!AU197</f>
        <v>270.7185</v>
      </c>
    </row>
    <row r="48" customFormat="false" ht="15" hidden="false" customHeight="false" outlineLevel="0" collapsed="false">
      <c r="A48" s="5" t="s">
        <v>116</v>
      </c>
      <c r="B48" s="25" t="n">
        <v>46699</v>
      </c>
      <c r="C48" s="23" t="n">
        <v>91</v>
      </c>
      <c r="D48" s="23" t="n">
        <v>18</v>
      </c>
      <c r="E48" s="23" t="n">
        <v>477</v>
      </c>
      <c r="F48" s="23" t="n">
        <v>87</v>
      </c>
      <c r="H48" s="26" t="n">
        <f aca="false">'CA 2027'!AV197</f>
        <v>232.9911</v>
      </c>
    </row>
    <row r="49" customFormat="false" ht="15" hidden="false" customHeight="false" outlineLevel="0" collapsed="false">
      <c r="A49" s="5" t="s">
        <v>117</v>
      </c>
      <c r="B49" s="25" t="n">
        <v>46706</v>
      </c>
      <c r="C49" s="23" t="n">
        <v>155</v>
      </c>
      <c r="D49" s="23" t="n">
        <v>48</v>
      </c>
      <c r="E49" s="23" t="n">
        <v>325</v>
      </c>
      <c r="F49" s="23" t="n">
        <v>59</v>
      </c>
      <c r="H49" s="26" t="n">
        <f aca="false">'CA 2027'!AW197</f>
        <v>173.15</v>
      </c>
    </row>
    <row r="50" customFormat="false" ht="15" hidden="false" customHeight="false" outlineLevel="0" collapsed="false">
      <c r="A50" s="5" t="s">
        <v>118</v>
      </c>
      <c r="B50" s="25" t="n">
        <v>46713</v>
      </c>
      <c r="C50" s="23" t="n">
        <v>68</v>
      </c>
      <c r="D50" s="23" t="n">
        <v>18</v>
      </c>
      <c r="E50" s="23" t="n">
        <v>74</v>
      </c>
      <c r="F50" s="23" t="n">
        <v>111</v>
      </c>
      <c r="H50" s="26" t="n">
        <f aca="false">'CA 2027'!AX197</f>
        <v>124.4726</v>
      </c>
    </row>
    <row r="51" customFormat="false" ht="15" hidden="false" customHeight="false" outlineLevel="0" collapsed="false">
      <c r="A51" s="5" t="s">
        <v>119</v>
      </c>
      <c r="B51" s="25" t="n">
        <v>46720</v>
      </c>
      <c r="C51" s="23" t="n">
        <v>30</v>
      </c>
      <c r="D51" s="23" t="n">
        <v>18</v>
      </c>
      <c r="E51" s="23" t="n">
        <v>314</v>
      </c>
      <c r="F51" s="23" t="n">
        <v>45</v>
      </c>
      <c r="H51" s="26" t="n">
        <f aca="false">'CA 2027'!AY197</f>
        <v>115.6676</v>
      </c>
    </row>
    <row r="52" customFormat="false" ht="15" hidden="false" customHeight="false" outlineLevel="0" collapsed="false">
      <c r="A52" s="5" t="s">
        <v>120</v>
      </c>
      <c r="B52" s="25" t="n">
        <v>46727</v>
      </c>
      <c r="C52" s="23" t="n">
        <v>0</v>
      </c>
      <c r="D52" s="23" t="n">
        <v>0</v>
      </c>
      <c r="E52" s="23" t="n">
        <v>143</v>
      </c>
      <c r="F52" s="23" t="n">
        <v>67</v>
      </c>
      <c r="H52" s="26" t="n">
        <f aca="false">'CA 2027'!AZ197</f>
        <v>84.5225</v>
      </c>
    </row>
    <row r="53" customFormat="false" ht="15" hidden="false" customHeight="false" outlineLevel="0" collapsed="false">
      <c r="A53" s="5" t="s">
        <v>121</v>
      </c>
      <c r="B53" s="25" t="n">
        <v>46734</v>
      </c>
      <c r="C53" s="23" t="n">
        <v>74</v>
      </c>
      <c r="D53" s="23" t="n">
        <v>85</v>
      </c>
      <c r="E53" s="23" t="n">
        <v>0</v>
      </c>
      <c r="F53" s="23" t="n">
        <v>0</v>
      </c>
      <c r="H53" s="26" t="n">
        <f aca="false">'CA 2027'!BA197</f>
        <v>55.9204</v>
      </c>
    </row>
    <row r="54" customFormat="false" ht="15" hidden="false" customHeight="false" outlineLevel="0" collapsed="false">
      <c r="A54" s="5" t="s">
        <v>122</v>
      </c>
      <c r="B54" s="25" t="n">
        <v>46741</v>
      </c>
      <c r="C54" s="23" t="n">
        <v>0</v>
      </c>
      <c r="D54" s="23" t="n">
        <v>45</v>
      </c>
      <c r="E54" s="23" t="n">
        <v>68</v>
      </c>
      <c r="F54" s="23" t="n">
        <v>111</v>
      </c>
      <c r="H54" s="26" t="n">
        <f aca="false">'CA 2027'!BB197</f>
        <v>48.8736</v>
      </c>
    </row>
    <row r="55" customFormat="false" ht="15" hidden="false" customHeight="false" outlineLevel="0" collapsed="false">
      <c r="A55" s="5" t="s">
        <v>123</v>
      </c>
      <c r="B55" s="25" t="n">
        <v>46748</v>
      </c>
      <c r="C55" s="23" t="n">
        <v>0</v>
      </c>
      <c r="D55" s="23" t="n">
        <v>0</v>
      </c>
      <c r="E55" s="23" t="n">
        <v>0</v>
      </c>
      <c r="F55" s="23" t="n">
        <v>0</v>
      </c>
      <c r="H55" s="26" t="n">
        <f aca="false">'CA 2027'!BC197</f>
        <v>20.9424</v>
      </c>
    </row>
    <row r="56" customFormat="false" ht="15" hidden="false" customHeight="false" outlineLevel="0" collapsed="false">
      <c r="A56" s="3" t="s">
        <v>61</v>
      </c>
      <c r="C56" s="15" t="n">
        <f aca="false">SUM(C4:C55)</f>
        <v>38797</v>
      </c>
      <c r="D56" s="15" t="n">
        <f aca="false">SUM(D4:D55)</f>
        <v>39320</v>
      </c>
      <c r="E56" s="15" t="n">
        <f aca="false">SUM(E4:E55)</f>
        <v>50875</v>
      </c>
      <c r="F56" s="15" t="n">
        <f aca="false">SUM(F4:F55)</f>
        <v>75534</v>
      </c>
      <c r="G56" s="15" t="n">
        <f aca="false">SUM(G4:G55)</f>
        <v>40598</v>
      </c>
      <c r="H56" s="15" t="n">
        <f aca="false">SUM(H4:H55)</f>
        <v>65833.1072</v>
      </c>
    </row>
    <row r="57" customFormat="false" ht="15" hidden="false" customHeight="false" outlineLevel="0" collapsed="false">
      <c r="A57" s="2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6" t="s">
        <v>388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3" t="s">
        <v>389</v>
      </c>
    </row>
    <row r="4" customFormat="false" ht="15" hidden="false" customHeight="false" outlineLevel="0" collapsed="false">
      <c r="A4" s="5" t="s">
        <v>390</v>
      </c>
    </row>
    <row r="5" customFormat="false" ht="15" hidden="false" customHeight="false" outlineLevel="0" collapsed="false">
      <c r="A5" s="5" t="s">
        <v>391</v>
      </c>
    </row>
    <row r="6" customFormat="false" ht="15" hidden="false" customHeight="false" outlineLevel="0" collapsed="false">
      <c r="A6" s="5" t="s">
        <v>392</v>
      </c>
    </row>
    <row r="7" customFormat="false" ht="15" hidden="false" customHeight="false" outlineLevel="0" collapsed="false">
      <c r="A7" s="5" t="s">
        <v>393</v>
      </c>
    </row>
    <row r="8" customFormat="false" ht="15" hidden="false" customHeight="false" outlineLevel="0" collapsed="false">
      <c r="A8" s="5" t="s">
        <v>394</v>
      </c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5" t="s">
        <v>395</v>
      </c>
    </row>
    <row r="11" customFormat="false" ht="15" hidden="false" customHeight="false" outlineLevel="0" collapsed="false">
      <c r="A11" s="5" t="s">
        <v>396</v>
      </c>
    </row>
    <row r="12" customFormat="false" ht="15" hidden="false" customHeight="false" outlineLevel="0" collapsed="false">
      <c r="A12" s="5" t="s">
        <v>397</v>
      </c>
    </row>
    <row r="13" customFormat="false" ht="15" hidden="false" customHeight="false" outlineLevel="0" collapsed="false">
      <c r="A13" s="5" t="s">
        <v>398</v>
      </c>
    </row>
    <row r="14" customFormat="false" ht="15" hidden="false" customHeight="false" outlineLevel="0" collapsed="false">
      <c r="A14" s="5" t="s">
        <v>399</v>
      </c>
    </row>
    <row r="15" customFormat="false" ht="15" hidden="false" customHeight="false" outlineLevel="0" collapsed="false">
      <c r="A15" s="5" t="s">
        <v>400</v>
      </c>
    </row>
    <row r="16" customFormat="false" ht="15" hidden="false" customHeight="false" outlineLevel="0" collapsed="false">
      <c r="A16" s="5" t="s">
        <v>401</v>
      </c>
    </row>
    <row r="17" customFormat="false" ht="15" hidden="false" customHeight="false" outlineLevel="0" collapsed="false">
      <c r="A17" s="5" t="s">
        <v>402</v>
      </c>
    </row>
    <row r="18" customFormat="false" ht="15" hidden="false" customHeight="false" outlineLevel="0" collapsed="false">
      <c r="A18" s="5" t="s">
        <v>403</v>
      </c>
    </row>
    <row r="19" customFormat="false" ht="15" hidden="false" customHeight="false" outlineLevel="0" collapsed="false">
      <c r="A19" s="5" t="s">
        <v>404</v>
      </c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3" t="s">
        <v>405</v>
      </c>
    </row>
    <row r="22" customFormat="false" ht="15" hidden="false" customHeight="false" outlineLevel="0" collapsed="false">
      <c r="A22" s="5" t="s">
        <v>406</v>
      </c>
    </row>
    <row r="23" customFormat="false" ht="15" hidden="false" customHeight="false" outlineLevel="0" collapsed="false">
      <c r="A23" s="5" t="s">
        <v>407</v>
      </c>
    </row>
    <row r="24" customFormat="false" ht="15" hidden="false" customHeight="false" outlineLevel="0" collapsed="false">
      <c r="A24" s="5" t="s">
        <v>408</v>
      </c>
    </row>
    <row r="25" customFormat="false" ht="15" hidden="false" customHeight="false" outlineLevel="0" collapsed="false">
      <c r="A25" s="5"/>
    </row>
    <row r="26" customFormat="false" ht="15" hidden="false" customHeight="false" outlineLevel="0" collapsed="false">
      <c r="A26" s="3" t="s">
        <v>409</v>
      </c>
    </row>
    <row r="27" customFormat="false" ht="15" hidden="false" customHeight="false" outlineLevel="0" collapsed="false">
      <c r="A27" s="5" t="s">
        <v>410</v>
      </c>
    </row>
    <row r="28" customFormat="false" ht="15" hidden="false" customHeight="false" outlineLevel="0" collapsed="false">
      <c r="A28" s="5" t="s">
        <v>411</v>
      </c>
    </row>
    <row r="29" customFormat="false" ht="15" hidden="false" customHeight="false" outlineLevel="0" collapsed="false">
      <c r="A29" s="5" t="s">
        <v>412</v>
      </c>
    </row>
    <row r="30" customFormat="false" ht="15" hidden="false" customHeight="false" outlineLevel="0" collapsed="false">
      <c r="A30" s="5" t="s">
        <v>413</v>
      </c>
    </row>
    <row r="31" customFormat="false" ht="15" hidden="false" customHeight="false" outlineLevel="0" collapsed="false">
      <c r="A31" s="5" t="s">
        <v>414</v>
      </c>
    </row>
    <row r="32" customFormat="false" ht="15" hidden="false" customHeight="false" outlineLevel="0" collapsed="false">
      <c r="A32" s="5" t="s">
        <v>415</v>
      </c>
    </row>
    <row r="33" customFormat="false" ht="15" hidden="false" customHeight="false" outlineLevel="0" collapsed="false">
      <c r="A33" s="5" t="s">
        <v>416</v>
      </c>
    </row>
    <row r="34" customFormat="false" ht="15" hidden="false" customHeight="false" outlineLevel="0" collapsed="false">
      <c r="A34" s="5" t="s">
        <v>417</v>
      </c>
    </row>
    <row r="35" customFormat="false" ht="15" hidden="false" customHeight="false" outlineLevel="0" collapsed="false">
      <c r="A35" s="5" t="s">
        <v>418</v>
      </c>
    </row>
    <row r="36" customFormat="false" ht="15" hidden="false" customHeight="false" outlineLevel="0" collapsed="false">
      <c r="A36" s="5" t="s">
        <v>419</v>
      </c>
    </row>
    <row r="37" customFormat="false" ht="15" hidden="false" customHeight="false" outlineLevel="0" collapsed="false">
      <c r="A37" s="5"/>
    </row>
    <row r="38" customFormat="false" ht="15" hidden="false" customHeight="false" outlineLevel="0" collapsed="false">
      <c r="A38" s="3" t="s">
        <v>420</v>
      </c>
    </row>
    <row r="39" customFormat="false" ht="15" hidden="false" customHeight="false" outlineLevel="0" collapsed="false">
      <c r="A39" s="5" t="s">
        <v>421</v>
      </c>
    </row>
    <row r="40" customFormat="false" ht="15" hidden="false" customHeight="false" outlineLevel="0" collapsed="false">
      <c r="A40" s="5" t="s">
        <v>422</v>
      </c>
    </row>
    <row r="41" customFormat="false" ht="15" hidden="false" customHeight="false" outlineLevel="0" collapsed="false">
      <c r="A41" s="5" t="s">
        <v>423</v>
      </c>
    </row>
    <row r="42" customFormat="false" ht="15" hidden="false" customHeight="false" outlineLevel="0" collapsed="false">
      <c r="A42" s="5" t="s">
        <v>424</v>
      </c>
    </row>
    <row r="43" customFormat="false" ht="15" hidden="false" customHeight="false" outlineLevel="0" collapsed="false">
      <c r="A43" s="5" t="s">
        <v>425</v>
      </c>
    </row>
    <row r="44" customFormat="false" ht="15" hidden="false" customHeight="false" outlineLevel="0" collapsed="false">
      <c r="A44" s="5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2026-07-18T08:13:42Z</dcterms:created>
  <dc:creator>openpyxl</dc:creator>
  <dc:description/>
  <dc:language>en-US</dc:language>
  <cp:lastModifiedBy/>
  <dcterms:modified xsi:type="dcterms:W3CDTF">2026-07-18T08:27:26Z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